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 List" sheetId="1" state="visible" r:id="rId3"/>
    <sheet name="Verified Figures" sheetId="2" state="visible" r:id="rId4"/>
    <sheet name="Consistent S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<sst xmlns="http://schemas.openxmlformats.org/spreadsheetml/2006/main" count="90" uniqueCount="68">
  <si>
    <t xml:space="preserve">#</t>
  </si>
  <si>
    <t xml:space="preserve">Severity</t>
  </si>
  <si>
    <t xml:space="preserve">Issue</t>
  </si>
  <si>
    <t xml:space="preserve">Fix</t>
  </si>
  <si>
    <t xml:space="preserve">Status</t>
  </si>
  <si>
    <t xml:space="preserve">Summary</t>
  </si>
  <si>
    <t xml:space="preserve">Critical</t>
  </si>
  <si>
    <t xml:space="preserve">Week 3 README/report claims PKR 6,750,000 revenue across 8,500 rides (avg PKR 794.12). Real data: $31,788.97 across 50 rides, in USD.</t>
  </si>
  <si>
    <t xml:space="preserve">Delete/rewrite every PKR, 8,500 and 794.12 figure.</t>
  </si>
  <si>
    <t xml:space="preserve">Open</t>
  </si>
  <si>
    <t xml:space="preserve">README says PayPal is top payment method and SUV top vehicle type. Real: Visa top ($9,297); Bus ($9,757) and Sedan ($9,632) top vehicle types; PayPal last ($4,029).</t>
  </si>
  <si>
    <t xml:space="preserve">Rewrite findings and recommendations built on them.</t>
  </si>
  <si>
    <t xml:space="preserve">High</t>
  </si>
  <si>
    <t xml:space="preserve">README says December is peak revenue month. Real peak is June 2022 ($3,109.66); all Decembers total $2,913.19; no seasonal pattern.</t>
  </si>
  <si>
    <t xml:space="preserve">Remove seasonality claim and December recommendation.</t>
  </si>
  <si>
    <t xml:space="preserve">Medium</t>
  </si>
  <si>
    <t xml:space="preserve">README names Driver JC9570 (high cancellation), CX2751 (top revenue), hotspot 19.013028,68.535171. Real: 0 cancellations; top-revenue driver is OC1811 ($1,159.06); every pickup location is unique.</t>
  </si>
  <si>
    <t xml:space="preserve">Remove or replace these claims.</t>
  </si>
  <si>
    <t xml:space="preserve">Low</t>
  </si>
  <si>
    <t xml:space="preserve">Week 4 screenshot showed Total Rides 650, Cancelled 600, Completion Rate 0.08 (fan-out bug).</t>
  </si>
  <si>
    <t xml:space="preserve">Confirm via fresh screenshot that cards read 50 / 0 / 100%.</t>
  </si>
  <si>
    <t xml:space="preserve">Ride distances range 525 to 12,132 miles (median 6,374) - impossible for ride-hailing. Brief requires checking impossible distances.</t>
  </si>
  <si>
    <t xml:space="preserve">Document as data-quality finding; caveat distance-based insights ($0.103/mile rate, Motorcycle longest trips).</t>
  </si>
  <si>
    <t xml:space="preserve">Resolved</t>
  </si>
  <si>
    <t xml:space="preserve">Week 5 insight 9 says "zero missing Customer IDs"; no Customer ID column exists.</t>
  </si>
  <si>
    <t xml:space="preserve">Reword to "no Customer ID field exists".</t>
  </si>
  <si>
    <t xml:space="preserve">Week 2 README claims customer, new-vs-repeat and weekday/weekend analysis the data cannot support.</t>
  </si>
  <si>
    <t xml:space="preserve">Add documented-limitation wording.</t>
  </si>
  <si>
    <t xml:space="preserve">Inconsistent table names (Ride_Sharing_Dataset vs _FIXED); Request Time chart built as a bar list.</t>
  </si>
  <si>
    <t xml:space="preserve">Rename tables consistently; use a line chart.</t>
  </si>
  <si>
    <t xml:space="preserve">Ride Status derived from Fare = 0 (circular proxy, not real status data).</t>
  </si>
  <si>
    <t xml:space="preserve">State in methodology notes.</t>
  </si>
  <si>
    <t xml:space="preserve">Duplicated logic: raw Completion Rate (%) column in driver file vs DAX Completion Rate measure.</t>
  </si>
  <si>
    <t xml:space="preserve">Keep one source of truth for each; label the other.</t>
  </si>
  <si>
    <t xml:space="preserve">Metric</t>
  </si>
  <si>
    <t xml:space="preserve">Value</t>
  </si>
  <si>
    <t xml:space="preserve">Note</t>
  </si>
  <si>
    <t xml:space="preserve">Total rides</t>
  </si>
  <si>
    <t xml:space="preserve">Ride_Sharing_Dataset.csv</t>
  </si>
  <si>
    <t xml:space="preserve">Total revenue ($)</t>
  </si>
  <si>
    <t xml:space="preserve">Sum of Fare Amount (in $)</t>
  </si>
  <si>
    <t xml:space="preserve">Cancelled rides</t>
  </si>
  <si>
    <t xml:space="preserve">No fares of $0</t>
  </si>
  <si>
    <t xml:space="preserve">Peak revenue month</t>
  </si>
  <si>
    <t xml:space="preserve">2022-06</t>
  </si>
  <si>
    <t xml:space="preserve">$3,109.66</t>
  </si>
  <si>
    <t xml:space="preserve">December revenue, all years ($)</t>
  </si>
  <si>
    <t xml:space="preserve">Not the peak</t>
  </si>
  <si>
    <t xml:space="preserve">Top payment method</t>
  </si>
  <si>
    <t xml:space="preserve">Visa</t>
  </si>
  <si>
    <t xml:space="preserve">$9,297.30</t>
  </si>
  <si>
    <t xml:space="preserve">Top vehicle types</t>
  </si>
  <si>
    <t xml:space="preserve">Bus / Sedan</t>
  </si>
  <si>
    <t xml:space="preserve">$9,756.79 / $9,631.78</t>
  </si>
  <si>
    <t xml:space="preserve">Top-revenue driver</t>
  </si>
  <si>
    <t xml:space="preserve">OC1811</t>
  </si>
  <si>
    <t xml:space="preserve">$1,159.06</t>
  </si>
  <si>
    <t xml:space="preserve">Distance min-max (miles)</t>
  </si>
  <si>
    <t xml:space="preserve">525 - 12,132</t>
  </si>
  <si>
    <t xml:space="preserve">Implausible</t>
  </si>
  <si>
    <t xml:space="preserve">Average rating</t>
  </si>
  <si>
    <t xml:space="preserve">2.80 / 5</t>
  </si>
  <si>
    <t xml:space="preserve">23 of 50 rides rated 1-2 stars</t>
  </si>
  <si>
    <t xml:space="preserve">Final story the data supports</t>
  </si>
  <si>
    <t xml:space="preserve">A small ride dataset: $31.8K revenue from 50 completed rides at about $636 per ride.</t>
  </si>
  <si>
    <t xml:space="preserve">Revenue is concentrated in Sedan and Bus and in Visa and Debit Card payments.</t>
  </si>
  <si>
    <t xml:space="preserve">Ratings are low (2.80/5) despite 100% completion.</t>
  </si>
  <si>
    <t xml:space="preserve">Data gaps (no customers, cancellations or realistic distances) limit deeper analysis.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</si>
</sst>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70"/>
    <col collapsed="false" customWidth="true" hidden="false" outlineLevel="0" max="4" min="4" style="0" width="50"/>
    <col collapsed="false" customWidth="true" hidden="false" outlineLevel="0" max="5" min="5" style="0" width="12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</row>
    <row r="2" customFormat="false" ht="23.85" hidden="false" customHeight="false" outlineLevel="0" collapsed="false">
      <c r="A2" s="3" t="n">
        <v>1</v>
      </c>
      <c r="B2" s="4" t="s">
        <v>6</v>
      </c>
      <c r="C2" s="3" t="s">
        <v>7</v>
      </c>
      <c r="D2" s="3" t="s">
        <v>8</v>
      </c>
      <c r="E2" s="3" t="s">
        <v>9</v>
      </c>
      <c r="G2" s="5" t="s">
        <v>6</v>
      </c>
      <c r="H2" s="5" t="n">
        <f aca="false">COUNTIF($B$2:$B$12,G2)</f>
        <v>5</v>
      </c>
    </row>
    <row r="3" customFormat="false" ht="23.85" hidden="false" customHeight="false" outlineLevel="0" collapsed="false">
      <c r="A3" s="3" t="n">
        <v>2</v>
      </c>
      <c r="B3" s="4" t="s">
        <v>6</v>
      </c>
      <c r="C3" s="3" t="s">
        <v>10</v>
      </c>
      <c r="D3" s="3" t="s">
        <v>11</v>
      </c>
      <c r="E3" s="3" t="s">
        <v>9</v>
      </c>
      <c r="G3" s="5" t="s">
        <v>12</v>
      </c>
      <c r="H3" s="5" t="n">
        <f aca="false">COUNTIF($B$2:$B$12,G3)</f>
        <v>3</v>
      </c>
    </row>
    <row r="4" customFormat="false" ht="23.85" hidden="false" customHeight="false" outlineLevel="0" collapsed="false">
      <c r="A4" s="3" t="n">
        <v>3</v>
      </c>
      <c r="B4" s="4" t="s">
        <v>6</v>
      </c>
      <c r="C4" s="3" t="s">
        <v>13</v>
      </c>
      <c r="D4" s="3" t="s">
        <v>14</v>
      </c>
      <c r="E4" s="3" t="s">
        <v>9</v>
      </c>
      <c r="G4" s="5" t="s">
        <v>15</v>
      </c>
      <c r="H4" s="5" t="n">
        <f aca="false">COUNTIF($B$2:$B$12,G4)</f>
        <v>2</v>
      </c>
    </row>
    <row r="5" customFormat="false" ht="35.05" hidden="false" customHeight="false" outlineLevel="0" collapsed="false">
      <c r="A5" s="3" t="n">
        <v>4</v>
      </c>
      <c r="B5" s="4" t="s">
        <v>6</v>
      </c>
      <c r="C5" s="3" t="s">
        <v>16</v>
      </c>
      <c r="D5" s="3" t="s">
        <v>17</v>
      </c>
      <c r="E5" s="3" t="s">
        <v>9</v>
      </c>
      <c r="G5" s="5" t="s">
        <v>18</v>
      </c>
      <c r="H5" s="5" t="n">
        <f aca="false">COUNTIF($B$2:$B$12,G5)</f>
        <v>1</v>
      </c>
    </row>
    <row r="6" customFormat="false" ht="23.85" hidden="false" customHeight="false" outlineLevel="0" collapsed="false">
      <c r="A6" s="3" t="n">
        <v>5</v>
      </c>
      <c r="B6" s="4" t="s">
        <v>6</v>
      </c>
      <c r="C6" s="3" t="s">
        <v>19</v>
      </c>
      <c r="D6" s="3" t="s">
        <v>20</v>
      </c>
      <c r="E6" s="3" t="s">
        <v>9</v>
      </c>
      <c r="G6" s="5" t="s">
        <v>9</v>
      </c>
      <c r="H6" s="5" t="n">
        <f aca="false">COUNTIF($E$2:$E$12,"Open")</f>
        <v>11</v>
      </c>
    </row>
    <row r="7" customFormat="false" ht="23.85" hidden="false" customHeight="false" outlineLevel="0" collapsed="false">
      <c r="A7" s="3" t="n">
        <v>6</v>
      </c>
      <c r="B7" s="6" t="s">
        <v>12</v>
      </c>
      <c r="C7" s="3" t="s">
        <v>21</v>
      </c>
      <c r="D7" s="3" t="s">
        <v>22</v>
      </c>
      <c r="E7" s="3" t="s">
        <v>9</v>
      </c>
      <c r="G7" s="5" t="s">
        <v>23</v>
      </c>
      <c r="H7" s="5" t="n">
        <f aca="false">COUNTIF($E$2:$E$12,"Resolved")</f>
        <v>0</v>
      </c>
    </row>
    <row r="8" customFormat="false" ht="15" hidden="false" customHeight="false" outlineLevel="0" collapsed="false">
      <c r="A8" s="3" t="n">
        <v>7</v>
      </c>
      <c r="B8" s="6" t="s">
        <v>12</v>
      </c>
      <c r="C8" s="3" t="s">
        <v>24</v>
      </c>
      <c r="D8" s="3" t="s">
        <v>25</v>
      </c>
      <c r="E8" s="3" t="s">
        <v>9</v>
      </c>
    </row>
    <row r="9" customFormat="false" ht="23.85" hidden="false" customHeight="false" outlineLevel="0" collapsed="false">
      <c r="A9" s="3" t="n">
        <v>8</v>
      </c>
      <c r="B9" s="6" t="s">
        <v>12</v>
      </c>
      <c r="C9" s="3" t="s">
        <v>26</v>
      </c>
      <c r="D9" s="3" t="s">
        <v>27</v>
      </c>
      <c r="E9" s="3" t="s">
        <v>9</v>
      </c>
    </row>
    <row r="10" customFormat="false" ht="23.85" hidden="false" customHeight="false" outlineLevel="0" collapsed="false">
      <c r="A10" s="3" t="n">
        <v>9</v>
      </c>
      <c r="B10" s="7" t="s">
        <v>15</v>
      </c>
      <c r="C10" s="3" t="s">
        <v>28</v>
      </c>
      <c r="D10" s="3" t="s">
        <v>29</v>
      </c>
      <c r="E10" s="3" t="s">
        <v>9</v>
      </c>
    </row>
    <row r="11" customFormat="false" ht="15" hidden="false" customHeight="false" outlineLevel="0" collapsed="false">
      <c r="A11" s="3" t="n">
        <v>10</v>
      </c>
      <c r="B11" s="7" t="s">
        <v>15</v>
      </c>
      <c r="C11" s="3" t="s">
        <v>30</v>
      </c>
      <c r="D11" s="3" t="s">
        <v>31</v>
      </c>
      <c r="E11" s="3" t="s">
        <v>9</v>
      </c>
    </row>
    <row r="12" customFormat="false" ht="23.85" hidden="false" customHeight="false" outlineLevel="0" collapsed="false">
      <c r="A12" s="3" t="n">
        <v>11</v>
      </c>
      <c r="B12" s="8" t="s">
        <v>18</v>
      </c>
      <c r="C12" s="3" t="s">
        <v>32</v>
      </c>
      <c r="D12" s="3" t="s">
        <v>33</v>
      </c>
      <c r="E12" s="3" t="s">
        <v>9</v>
      </c>
    </row>
  </sheetData>
  <dataValidations count="1">
    <dataValidation allowBlank="false" errorStyle="stop" operator="between" showDropDown="false" showErrorMessage="false" showInputMessage="false" sqref="E2:E12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34</v>
      </c>
      <c r="B1" s="1" t="s">
        <v>35</v>
      </c>
      <c r="C1" s="1" t="s">
        <v>36</v>
      </c>
    </row>
    <row r="2" customFormat="false" ht="15" hidden="false" customHeight="false" outlineLevel="0" collapsed="false">
      <c r="A2" s="3" t="s">
        <v>37</v>
      </c>
      <c r="B2" s="3" t="n">
        <v>50</v>
      </c>
      <c r="C2" s="3" t="s">
        <v>38</v>
      </c>
    </row>
    <row r="3" customFormat="false" ht="15" hidden="false" customHeight="false" outlineLevel="0" collapsed="false">
      <c r="A3" s="3" t="s">
        <v>39</v>
      </c>
      <c r="B3" s="9" t="n">
        <v>31788.97</v>
      </c>
      <c r="C3" s="3" t="s">
        <v>40</v>
      </c>
    </row>
    <row r="4" customFormat="false" ht="15" hidden="false" customHeight="false" outlineLevel="0" collapsed="false">
      <c r="A4" s="3" t="s">
        <v>41</v>
      </c>
      <c r="B4" s="3" t="n">
        <v>0</v>
      </c>
      <c r="C4" s="3" t="s">
        <v>42</v>
      </c>
    </row>
    <row r="5" customFormat="false" ht="15" hidden="false" customHeight="false" outlineLevel="0" collapsed="false">
      <c r="A5" s="3" t="s">
        <v>43</v>
      </c>
      <c r="B5" s="3" t="s">
        <v>44</v>
      </c>
      <c r="C5" s="3" t="s">
        <v>45</v>
      </c>
    </row>
    <row r="6" customFormat="false" ht="15" hidden="false" customHeight="false" outlineLevel="0" collapsed="false">
      <c r="A6" s="3" t="s">
        <v>46</v>
      </c>
      <c r="B6" s="9" t="n">
        <v>2913.19</v>
      </c>
      <c r="C6" s="3" t="s">
        <v>47</v>
      </c>
    </row>
    <row r="7" customFormat="false" ht="15" hidden="false" customHeight="false" outlineLevel="0" collapsed="false">
      <c r="A7" s="3" t="s">
        <v>48</v>
      </c>
      <c r="B7" s="3" t="s">
        <v>49</v>
      </c>
      <c r="C7" s="3" t="s">
        <v>50</v>
      </c>
    </row>
    <row r="8" customFormat="false" ht="15" hidden="false" customHeight="false" outlineLevel="0" collapsed="false">
      <c r="A8" s="3" t="s">
        <v>51</v>
      </c>
      <c r="B8" s="3" t="s">
        <v>52</v>
      </c>
      <c r="C8" s="3" t="s">
        <v>53</v>
      </c>
    </row>
    <row r="9" customFormat="false" ht="15" hidden="false" customHeight="false" outlineLevel="0" collapsed="false">
      <c r="A9" s="3" t="s">
        <v>54</v>
      </c>
      <c r="B9" s="3" t="s">
        <v>55</v>
      </c>
      <c r="C9" s="3" t="s">
        <v>56</v>
      </c>
    </row>
    <row r="10" customFormat="false" ht="15" hidden="false" customHeight="false" outlineLevel="0" collapsed="false">
      <c r="A10" s="3" t="s">
        <v>57</v>
      </c>
      <c r="B10" s="3" t="s">
        <v>58</v>
      </c>
      <c r="C10" s="3" t="s">
        <v>59</v>
      </c>
    </row>
    <row r="11" customFormat="false" ht="15" hidden="false" customHeight="false" outlineLevel="0" collapsed="false">
      <c r="A11" s="3" t="s">
        <v>60</v>
      </c>
      <c r="B11" s="3" t="s">
        <v>61</v>
      </c>
      <c r="C11" s="3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3" t="s">
        <v>64</v>
      </c>
    </row>
    <row r="3" customFormat="false" ht="15" hidden="false" customHeight="false" outlineLevel="0" collapsed="false">
      <c r="A3" s="3" t="s">
        <v>65</v>
      </c>
    </row>
    <row r="4" customFormat="false" ht="15" hidden="false" customHeight="false" outlineLevel="0" collapsed="false">
      <c r="A4" s="3" t="s">
        <v>66</v>
      </c>
    </row>
    <row r="5" customFormat="false" ht="15" hidden="false" customHeight="false" outlineLevel="0" collapsed="false">
      <c r="A5" s="3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2026-10-10T13:20:25Z</dcterms:created>
  <dc:creator>openpyxl</dc:creator>
  <dc:description/>
  <dc:language>en-US</dc:language>
  <cp:lastModifiedBy/>
  <dcterms:modified xsi:type="dcterms:W3CDTF">2026-10-10T13:20:25Z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