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Data Analytics - Projects\Zyro_Internship\Week 2\"/>
    </mc:Choice>
  </mc:AlternateContent>
  <xr:revisionPtr revIDLastSave="0" documentId="13_ncr:1_{8ABD77F0-37D3-4526-90D0-BA20748D7E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ide Sharing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Q51" i="1"/>
  <c r="P51" i="1"/>
  <c r="O51" i="1"/>
  <c r="N51" i="1"/>
  <c r="M51" i="1"/>
  <c r="L51" i="1"/>
  <c r="K51" i="1"/>
  <c r="B51" i="1"/>
  <c r="Q50" i="1"/>
  <c r="P50" i="1"/>
  <c r="O50" i="1"/>
  <c r="N50" i="1"/>
  <c r="M50" i="1"/>
  <c r="L50" i="1"/>
  <c r="K50" i="1"/>
  <c r="B50" i="1"/>
  <c r="Q49" i="1"/>
  <c r="P49" i="1"/>
  <c r="O49" i="1"/>
  <c r="N49" i="1"/>
  <c r="M49" i="1"/>
  <c r="L49" i="1"/>
  <c r="K49" i="1"/>
  <c r="B49" i="1"/>
  <c r="Q48" i="1"/>
  <c r="P48" i="1"/>
  <c r="O48" i="1"/>
  <c r="N48" i="1"/>
  <c r="M48" i="1"/>
  <c r="L48" i="1"/>
  <c r="K48" i="1"/>
  <c r="B48" i="1"/>
  <c r="Q47" i="1"/>
  <c r="P47" i="1"/>
  <c r="O47" i="1"/>
  <c r="N47" i="1"/>
  <c r="M47" i="1"/>
  <c r="L47" i="1"/>
  <c r="K47" i="1"/>
  <c r="B47" i="1"/>
  <c r="Q46" i="1"/>
  <c r="P46" i="1"/>
  <c r="O46" i="1"/>
  <c r="N46" i="1"/>
  <c r="M46" i="1"/>
  <c r="L46" i="1"/>
  <c r="K46" i="1"/>
  <c r="B46" i="1"/>
  <c r="Q45" i="1"/>
  <c r="P45" i="1"/>
  <c r="O45" i="1"/>
  <c r="N45" i="1"/>
  <c r="M45" i="1"/>
  <c r="L45" i="1"/>
  <c r="K45" i="1"/>
  <c r="B45" i="1"/>
  <c r="Q44" i="1"/>
  <c r="P44" i="1"/>
  <c r="O44" i="1"/>
  <c r="N44" i="1"/>
  <c r="M44" i="1"/>
  <c r="L44" i="1"/>
  <c r="K44" i="1"/>
  <c r="B44" i="1"/>
  <c r="Q43" i="1"/>
  <c r="P43" i="1"/>
  <c r="O43" i="1"/>
  <c r="N43" i="1"/>
  <c r="M43" i="1"/>
  <c r="L43" i="1"/>
  <c r="K43" i="1"/>
  <c r="B43" i="1"/>
  <c r="Q42" i="1"/>
  <c r="P42" i="1"/>
  <c r="O42" i="1"/>
  <c r="N42" i="1"/>
  <c r="M42" i="1"/>
  <c r="L42" i="1"/>
  <c r="K42" i="1"/>
  <c r="B42" i="1"/>
  <c r="Q41" i="1"/>
  <c r="P41" i="1"/>
  <c r="O41" i="1"/>
  <c r="N41" i="1"/>
  <c r="M41" i="1"/>
  <c r="L41" i="1"/>
  <c r="K41" i="1"/>
  <c r="B41" i="1"/>
  <c r="Q40" i="1"/>
  <c r="P40" i="1"/>
  <c r="O40" i="1"/>
  <c r="N40" i="1"/>
  <c r="M40" i="1"/>
  <c r="L40" i="1"/>
  <c r="K40" i="1"/>
  <c r="B40" i="1"/>
  <c r="Q39" i="1"/>
  <c r="P39" i="1"/>
  <c r="O39" i="1"/>
  <c r="N39" i="1"/>
  <c r="M39" i="1"/>
  <c r="L39" i="1"/>
  <c r="K39" i="1"/>
  <c r="B39" i="1"/>
  <c r="Q38" i="1"/>
  <c r="P38" i="1"/>
  <c r="O38" i="1"/>
  <c r="N38" i="1"/>
  <c r="M38" i="1"/>
  <c r="L38" i="1"/>
  <c r="K38" i="1"/>
  <c r="B38" i="1"/>
  <c r="Q37" i="1"/>
  <c r="P37" i="1"/>
  <c r="O37" i="1"/>
  <c r="N37" i="1"/>
  <c r="M37" i="1"/>
  <c r="L37" i="1"/>
  <c r="K37" i="1"/>
  <c r="B37" i="1"/>
  <c r="Q36" i="1"/>
  <c r="P36" i="1"/>
  <c r="O36" i="1"/>
  <c r="N36" i="1"/>
  <c r="M36" i="1"/>
  <c r="L36" i="1"/>
  <c r="K36" i="1"/>
  <c r="B36" i="1"/>
  <c r="Q35" i="1"/>
  <c r="P35" i="1"/>
  <c r="O35" i="1"/>
  <c r="N35" i="1"/>
  <c r="M35" i="1"/>
  <c r="L35" i="1"/>
  <c r="K35" i="1"/>
  <c r="B35" i="1"/>
  <c r="Q34" i="1"/>
  <c r="P34" i="1"/>
  <c r="O34" i="1"/>
  <c r="N34" i="1"/>
  <c r="M34" i="1"/>
  <c r="L34" i="1"/>
  <c r="K34" i="1"/>
  <c r="B34" i="1"/>
  <c r="Q33" i="1"/>
  <c r="P33" i="1"/>
  <c r="O33" i="1"/>
  <c r="N33" i="1"/>
  <c r="M33" i="1"/>
  <c r="L33" i="1"/>
  <c r="K33" i="1"/>
  <c r="B33" i="1"/>
  <c r="Q32" i="1"/>
  <c r="P32" i="1"/>
  <c r="O32" i="1"/>
  <c r="N32" i="1"/>
  <c r="M32" i="1"/>
  <c r="L32" i="1"/>
  <c r="K32" i="1"/>
  <c r="B32" i="1"/>
  <c r="Q31" i="1"/>
  <c r="P31" i="1"/>
  <c r="O31" i="1"/>
  <c r="N31" i="1"/>
  <c r="M31" i="1"/>
  <c r="L31" i="1"/>
  <c r="K31" i="1"/>
  <c r="B31" i="1"/>
  <c r="Q30" i="1"/>
  <c r="P30" i="1"/>
  <c r="O30" i="1"/>
  <c r="N30" i="1"/>
  <c r="M30" i="1"/>
  <c r="L30" i="1"/>
  <c r="K30" i="1"/>
  <c r="B30" i="1"/>
  <c r="Q29" i="1"/>
  <c r="P29" i="1"/>
  <c r="O29" i="1"/>
  <c r="N29" i="1"/>
  <c r="M29" i="1"/>
  <c r="L29" i="1"/>
  <c r="K29" i="1"/>
  <c r="B29" i="1"/>
  <c r="Q28" i="1"/>
  <c r="P28" i="1"/>
  <c r="O28" i="1"/>
  <c r="N28" i="1"/>
  <c r="M28" i="1"/>
  <c r="L28" i="1"/>
  <c r="K28" i="1"/>
  <c r="B28" i="1"/>
  <c r="Q27" i="1"/>
  <c r="P27" i="1"/>
  <c r="O27" i="1"/>
  <c r="N27" i="1"/>
  <c r="M27" i="1"/>
  <c r="L27" i="1"/>
  <c r="K27" i="1"/>
  <c r="B27" i="1"/>
  <c r="Q26" i="1"/>
  <c r="P26" i="1"/>
  <c r="O26" i="1"/>
  <c r="N26" i="1"/>
  <c r="M26" i="1"/>
  <c r="L26" i="1"/>
  <c r="K26" i="1"/>
  <c r="B26" i="1"/>
  <c r="Q25" i="1"/>
  <c r="P25" i="1"/>
  <c r="O25" i="1"/>
  <c r="N25" i="1"/>
  <c r="M25" i="1"/>
  <c r="L25" i="1"/>
  <c r="K25" i="1"/>
  <c r="B25" i="1"/>
  <c r="Q24" i="1"/>
  <c r="P24" i="1"/>
  <c r="O24" i="1"/>
  <c r="N24" i="1"/>
  <c r="M24" i="1"/>
  <c r="L24" i="1"/>
  <c r="K24" i="1"/>
  <c r="B24" i="1"/>
  <c r="Q23" i="1"/>
  <c r="P23" i="1"/>
  <c r="O23" i="1"/>
  <c r="N23" i="1"/>
  <c r="M23" i="1"/>
  <c r="L23" i="1"/>
  <c r="K23" i="1"/>
  <c r="B23" i="1"/>
  <c r="Q22" i="1"/>
  <c r="P22" i="1"/>
  <c r="O22" i="1"/>
  <c r="N22" i="1"/>
  <c r="M22" i="1"/>
  <c r="L22" i="1"/>
  <c r="K22" i="1"/>
  <c r="B22" i="1"/>
  <c r="Q21" i="1"/>
  <c r="P21" i="1"/>
  <c r="O21" i="1"/>
  <c r="N21" i="1"/>
  <c r="M21" i="1"/>
  <c r="L21" i="1"/>
  <c r="K21" i="1"/>
  <c r="B21" i="1"/>
  <c r="Q20" i="1"/>
  <c r="P20" i="1"/>
  <c r="O20" i="1"/>
  <c r="N20" i="1"/>
  <c r="M20" i="1"/>
  <c r="L20" i="1"/>
  <c r="K20" i="1"/>
  <c r="B20" i="1"/>
  <c r="Q19" i="1"/>
  <c r="P19" i="1"/>
  <c r="O19" i="1"/>
  <c r="N19" i="1"/>
  <c r="M19" i="1"/>
  <c r="L19" i="1"/>
  <c r="K19" i="1"/>
  <c r="B19" i="1"/>
  <c r="Q18" i="1"/>
  <c r="P18" i="1"/>
  <c r="O18" i="1"/>
  <c r="N18" i="1"/>
  <c r="M18" i="1"/>
  <c r="L18" i="1"/>
  <c r="K18" i="1"/>
  <c r="B18" i="1"/>
  <c r="Q17" i="1"/>
  <c r="P17" i="1"/>
  <c r="O17" i="1"/>
  <c r="N17" i="1"/>
  <c r="M17" i="1"/>
  <c r="L17" i="1"/>
  <c r="K17" i="1"/>
  <c r="B17" i="1"/>
  <c r="Q16" i="1"/>
  <c r="P16" i="1"/>
  <c r="O16" i="1"/>
  <c r="N16" i="1"/>
  <c r="M16" i="1"/>
  <c r="L16" i="1"/>
  <c r="K16" i="1"/>
  <c r="B16" i="1"/>
  <c r="Q15" i="1"/>
  <c r="P15" i="1"/>
  <c r="O15" i="1"/>
  <c r="N15" i="1"/>
  <c r="M15" i="1"/>
  <c r="L15" i="1"/>
  <c r="K15" i="1"/>
  <c r="B15" i="1"/>
  <c r="Q14" i="1"/>
  <c r="P14" i="1"/>
  <c r="O14" i="1"/>
  <c r="N14" i="1"/>
  <c r="M14" i="1"/>
  <c r="L14" i="1"/>
  <c r="K14" i="1"/>
  <c r="B14" i="1"/>
  <c r="Q13" i="1"/>
  <c r="P13" i="1"/>
  <c r="O13" i="1"/>
  <c r="N13" i="1"/>
  <c r="M13" i="1"/>
  <c r="L13" i="1"/>
  <c r="K13" i="1"/>
  <c r="B13" i="1"/>
  <c r="Q12" i="1"/>
  <c r="P12" i="1"/>
  <c r="O12" i="1"/>
  <c r="N12" i="1"/>
  <c r="M12" i="1"/>
  <c r="L12" i="1"/>
  <c r="K12" i="1"/>
  <c r="B12" i="1"/>
  <c r="Q11" i="1"/>
  <c r="P11" i="1"/>
  <c r="O11" i="1"/>
  <c r="N11" i="1"/>
  <c r="M11" i="1"/>
  <c r="L11" i="1"/>
  <c r="K11" i="1"/>
  <c r="B11" i="1"/>
  <c r="Q10" i="1"/>
  <c r="P10" i="1"/>
  <c r="O10" i="1"/>
  <c r="N10" i="1"/>
  <c r="M10" i="1"/>
  <c r="L10" i="1"/>
  <c r="K10" i="1"/>
  <c r="B10" i="1"/>
  <c r="Q9" i="1"/>
  <c r="P9" i="1"/>
  <c r="O9" i="1"/>
  <c r="N9" i="1"/>
  <c r="M9" i="1"/>
  <c r="L9" i="1"/>
  <c r="K9" i="1"/>
  <c r="B9" i="1"/>
  <c r="Q8" i="1"/>
  <c r="P8" i="1"/>
  <c r="O8" i="1"/>
  <c r="N8" i="1"/>
  <c r="M8" i="1"/>
  <c r="L8" i="1"/>
  <c r="K8" i="1"/>
  <c r="B8" i="1"/>
  <c r="Q7" i="1"/>
  <c r="P7" i="1"/>
  <c r="O7" i="1"/>
  <c r="N7" i="1"/>
  <c r="M7" i="1"/>
  <c r="L7" i="1"/>
  <c r="K7" i="1"/>
  <c r="B7" i="1"/>
  <c r="Q6" i="1"/>
  <c r="P6" i="1"/>
  <c r="O6" i="1"/>
  <c r="N6" i="1"/>
  <c r="M6" i="1"/>
  <c r="L6" i="1"/>
  <c r="K6" i="1"/>
  <c r="B6" i="1"/>
  <c r="Q5" i="1"/>
  <c r="P5" i="1"/>
  <c r="O5" i="1"/>
  <c r="N5" i="1"/>
  <c r="M5" i="1"/>
  <c r="L5" i="1"/>
  <c r="K5" i="1"/>
  <c r="B5" i="1"/>
  <c r="Q4" i="1"/>
  <c r="P4" i="1"/>
  <c r="O4" i="1"/>
  <c r="N4" i="1"/>
  <c r="M4" i="1"/>
  <c r="L4" i="1"/>
  <c r="K4" i="1"/>
  <c r="B4" i="1"/>
  <c r="Q3" i="1"/>
  <c r="P3" i="1"/>
  <c r="O3" i="1"/>
  <c r="N3" i="1"/>
  <c r="M3" i="1"/>
  <c r="L3" i="1"/>
  <c r="K3" i="1"/>
  <c r="B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Q2" i="1"/>
  <c r="P2" i="1"/>
  <c r="O2" i="1"/>
  <c r="N2" i="1"/>
  <c r="M2" i="1"/>
  <c r="L2" i="1"/>
  <c r="K2" i="1"/>
  <c r="B2" i="1"/>
  <c r="G2" i="1" l="1"/>
  <c r="H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18" i="1"/>
  <c r="G19" i="1"/>
  <c r="G20" i="1"/>
  <c r="G21" i="1"/>
  <c r="G22" i="1"/>
  <c r="G23" i="1"/>
  <c r="G24" i="1"/>
  <c r="G25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I45" i="1" l="1"/>
  <c r="J45" i="1" s="1"/>
  <c r="I44" i="1"/>
  <c r="I48" i="1"/>
  <c r="J48" i="1" s="1"/>
  <c r="I51" i="1"/>
  <c r="I49" i="1"/>
  <c r="J49" i="1" s="1"/>
  <c r="I2" i="1"/>
  <c r="I3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I40" i="1"/>
  <c r="I41" i="1"/>
  <c r="I42" i="1"/>
  <c r="I43" i="1"/>
  <c r="I46" i="1"/>
  <c r="I47" i="1"/>
  <c r="I50" i="1"/>
  <c r="J50" i="1" s="1"/>
  <c r="J2" i="1"/>
  <c r="J42" i="1"/>
  <c r="J47" i="1"/>
  <c r="J39" i="1"/>
  <c r="J40" i="1"/>
  <c r="J41" i="1"/>
  <c r="J51" i="1"/>
  <c r="J46" i="1"/>
  <c r="J44" i="1"/>
  <c r="J43" i="1"/>
  <c r="J3" i="1"/>
</calcChain>
</file>

<file path=xl/sharedStrings.xml><?xml version="1.0" encoding="utf-8"?>
<sst xmlns="http://schemas.openxmlformats.org/spreadsheetml/2006/main" count="17" uniqueCount="17">
  <si>
    <t>Ride ID</t>
  </si>
  <si>
    <t>Request Time</t>
  </si>
  <si>
    <t>Pickup Location</t>
  </si>
  <si>
    <t>Latitude Pickup</t>
  </si>
  <si>
    <t>Longitude Pickup</t>
  </si>
  <si>
    <t>Dropoff Location</t>
  </si>
  <si>
    <t>Latitude Dropoff</t>
  </si>
  <si>
    <t>Longtitude Dropoff</t>
  </si>
  <si>
    <t>Ride Distance (in miles)</t>
  </si>
  <si>
    <t>Fare Amount (in $)</t>
  </si>
  <si>
    <t>Payment Method</t>
  </si>
  <si>
    <t>Driver ID</t>
  </si>
  <si>
    <t>Vehicle Type</t>
  </si>
  <si>
    <t>Traffic Condition</t>
  </si>
  <si>
    <t>Peak Hours</t>
  </si>
  <si>
    <t>Day of Week</t>
  </si>
  <si>
    <t>User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</si>
</sst>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\ h:mm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64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1"/>
  <sheetViews>
    <sheetView tabSelected="1" zoomScale="93" zoomScaleNormal="93" workbookViewId="0">
      <pane ySplit="1" topLeftCell="A2" activePane="bottomLeft" state="frozen"/>
      <selection pane="bottomLeft" activeCell="F3" sqref="F3"/>
    </sheetView>
  </sheetViews>
  <sheetFormatPr defaultColWidth="8.90625" defaultRowHeight="14.5"/>
  <cols>
    <col min="2" max="2" width="18.453125" style="1"/>
    <col min="3" max="3" width="23.1796875" customWidth="1"/>
    <col min="4" max="16" width="21.453125" customWidth="1"/>
  </cols>
  <sheetData>
    <row r="1" spans="1:17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3">
        <v>1</v>
      </c>
      <c r="B2" s="4">
        <f t="shared" ref="B2:B51" ca="1" si="0">RANDBETWEEN(DATE(2022,1,1),DATE(2024,12,31))+RANDBETWEEN(0,23)/24+RANDBETWEEN(0,59)/(24*60)</f>
        <v>45307.80972222222</v>
      </c>
      <c r="C2" s="3" t="str">
        <f ca="1">RANDBETWEEN(-90,90)+RANDBETWEEN(0,999999)/1000000&amp;","&amp;RANDBETWEEN(-180,180)+RANDBETWEEN(0,999999)/1000000</f>
        <v>2.152174,89.364045</v>
      </c>
      <c r="D2" s="3">
        <f t="shared" ref="D2:D33" ca="1" si="1">VALUE(LEFT(C2,FIND(",",C2)-1))</f>
        <v>2.152174</v>
      </c>
      <c r="E2" s="3">
        <f t="shared" ref="E2:E33" ca="1" si="2">VALUE(MID(C2,FIND(",",C2)+1,LEN(C2)))</f>
        <v>89.364045000000004</v>
      </c>
      <c r="F2" s="3" t="str">
        <f ca="1">RANDBETWEEN(-90,90)+RANDBETWEEN(0,999999)/1000000&amp;","&amp;RANDBETWEEN(-180,180)+RANDBETWEEN(0,999999)/1000000</f>
        <v>73.956221,-105.123435</v>
      </c>
      <c r="G2" s="3">
        <f t="shared" ref="G2:G33" ca="1" si="3">VALUE(LEFT(F2,FIND(",",F2)-1))</f>
        <v>73.956220999999999</v>
      </c>
      <c r="H2" s="3">
        <f t="shared" ref="H2:H33" ca="1" si="4">VALUE(MID(F2,FIND(",",F2)+1,LEN(F2)))</f>
        <v>-105.123435</v>
      </c>
      <c r="I2" s="3">
        <f t="shared" ref="I2:I33" ca="1" si="5">3959*ACOS(SIN(RADIANS(D2))*SIN(RADIANS(E2))+(COS(RADIANS(D2))*COS(RADIANS(E2))*COS(RADIANS(H2)-RADIANS(G2))))</f>
        <v>6114.0099195683933</v>
      </c>
      <c r="J2" s="5">
        <f t="shared" ref="J2:J33" ca="1" si="6">(I2/100)*10+20</f>
        <v>631.40099195683933</v>
      </c>
      <c r="K2" s="3" t="str">
        <f ca="1">CHOOSE(RANDBETWEEN(1,5),"Cash","PayPal","Visa","Apple Pay","Debit Card")</f>
        <v>Visa</v>
      </c>
      <c r="L2" s="3" t="str">
        <f ca="1">CHAR(RANDBETWEEN(65,90))&amp;CHAR(RANDBETWEEN(65,90))&amp;RANDBETWEEN(0,9)&amp;RANDBETWEEN(0,9)&amp;RANDBETWEEN(0,9)&amp;RANDBETWEEN(0,9)</f>
        <v>JH2699</v>
      </c>
      <c r="M2" s="3" t="str">
        <f ca="1">CHOOSE(RANDBETWEEN(1,4),"SUV","Motorcycle","Bus","Sedan")</f>
        <v>Sedan</v>
      </c>
      <c r="N2" s="3" t="str">
        <f ca="1">CHOOSE(RANDBETWEEN(1,3),"Low","Medium","High")</f>
        <v>Medium</v>
      </c>
      <c r="O2" s="3" t="str">
        <f ca="1">CHOOSE(RANDBETWEEN(1,2),"Yes","No")</f>
        <v>No</v>
      </c>
      <c r="P2" s="3" t="str">
        <f ca="1">CHOOSE(RANDBETWEEN(1,7),"Saturday","Sunday","Monday","Tuesday","Wednesday","Thursday","Friday")</f>
        <v>Monday</v>
      </c>
      <c r="Q2" s="3">
        <f ca="1">RANDBETWEEN(1,5)</f>
        <v>3</v>
      </c>
    </row>
    <row r="3" spans="1:17">
      <c r="A3" s="3">
        <f>A2+1</f>
        <v>2</v>
      </c>
      <c r="B3" s="4">
        <f t="shared" ca="1" si="0"/>
        <v>45263.884027777778</v>
      </c>
      <c r="C3" s="3" t="str">
        <f t="shared" ref="C3:C12" ca="1" si="7">RANDBETWEEN(-90,90)+RANDBETWEEN(0,999999)/1000000&amp;","&amp;RANDBETWEEN(-180,180)+RANDBETWEEN(0,999999)/1000000</f>
        <v>4.935379,-125.307344</v>
      </c>
      <c r="D3" s="3">
        <f t="shared" ca="1" si="1"/>
        <v>4.9353790000000002</v>
      </c>
      <c r="E3" s="3">
        <f t="shared" ca="1" si="2"/>
        <v>-125.307344</v>
      </c>
      <c r="F3" s="3" t="str">
        <f t="shared" ref="F3:F12" ca="1" si="8">RANDBETWEEN(-90,90)+RANDBETWEEN(0,999999)/1000000&amp;","&amp;RANDBETWEEN(-180,180)+RANDBETWEEN(0,999999)/1000000</f>
        <v>-69.588656,-19.959305</v>
      </c>
      <c r="G3" s="3">
        <f t="shared" ca="1" si="3"/>
        <v>-69.588656</v>
      </c>
      <c r="H3" s="3">
        <f t="shared" ca="1" si="4"/>
        <v>-19.959305000000001</v>
      </c>
      <c r="I3" s="3">
        <f t="shared" ca="1" si="5"/>
        <v>8036.5428446117139</v>
      </c>
      <c r="J3" s="5">
        <f t="shared" ca="1" si="6"/>
        <v>823.6542844611713</v>
      </c>
      <c r="K3" s="3" t="str">
        <f t="shared" ref="K3:K12" ca="1" si="9">CHOOSE(RANDBETWEEN(1,5),"Cash","PayPal","Visa","Apple Pay","Debit Card")</f>
        <v>Debit Card</v>
      </c>
      <c r="L3" s="3" t="str">
        <f t="shared" ref="L3:L12" ca="1" si="10">CHAR(RANDBETWEEN(65,90))&amp;CHAR(RANDBETWEEN(65,90))&amp;RANDBETWEEN(0,9)&amp;RANDBETWEEN(0,9)&amp;RANDBETWEEN(0,9)&amp;RANDBETWEEN(0,9)</f>
        <v>AB6775</v>
      </c>
      <c r="M3" s="3" t="str">
        <f t="shared" ref="M3:M12" ca="1" si="11">CHOOSE(RANDBETWEEN(1,4),"SUV","Motorcycle","Bus","Sedan")</f>
        <v>Motorcycle</v>
      </c>
      <c r="N3" s="3" t="str">
        <f t="shared" ref="N3:N12" ca="1" si="12">CHOOSE(RANDBETWEEN(1,3),"Low","Medium","High")</f>
        <v>Medium</v>
      </c>
      <c r="O3" s="3" t="str">
        <f t="shared" ref="O3:O12" ca="1" si="13">CHOOSE(RANDBETWEEN(1,2),"Yes","No")</f>
        <v>Yes</v>
      </c>
      <c r="P3" s="3" t="str">
        <f t="shared" ref="P3:P12" ca="1" si="14">CHOOSE(RANDBETWEEN(1,7),"Saturday","Sunday","Monday","Tuesday","Wednesday","Thursday","Friday")</f>
        <v>Friday</v>
      </c>
      <c r="Q3" s="3">
        <f t="shared" ref="Q3:Q12" ca="1" si="15">RANDBETWEEN(1,5)</f>
        <v>3</v>
      </c>
    </row>
    <row r="4" spans="1:17">
      <c r="A4" s="3">
        <f t="shared" ref="A4:A51" si="16">A3+1</f>
        <v>3</v>
      </c>
      <c r="B4" s="4">
        <f t="shared" ca="1" si="0"/>
        <v>45152.821527777778</v>
      </c>
      <c r="C4" s="3" t="str">
        <f t="shared" ca="1" si="7"/>
        <v>73.649345,-56.85887</v>
      </c>
      <c r="D4" s="3">
        <f t="shared" ca="1" si="1"/>
        <v>73.649344999999997</v>
      </c>
      <c r="E4" s="3">
        <f t="shared" ca="1" si="2"/>
        <v>-56.858870000000003</v>
      </c>
      <c r="F4" s="3" t="str">
        <f t="shared" ca="1" si="8"/>
        <v>-6.247586,-31.410611</v>
      </c>
      <c r="G4" s="3">
        <f t="shared" ca="1" si="3"/>
        <v>-6.2475860000000001</v>
      </c>
      <c r="H4" s="3">
        <f t="shared" ca="1" si="4"/>
        <v>-31.410610999999999</v>
      </c>
      <c r="I4" s="3">
        <f t="shared" ca="1" si="5"/>
        <v>9094.4929188650422</v>
      </c>
      <c r="J4" s="5">
        <f t="shared" ca="1" si="6"/>
        <v>929.44929188650417</v>
      </c>
      <c r="K4" s="3" t="str">
        <f t="shared" ca="1" si="9"/>
        <v>Debit Card</v>
      </c>
      <c r="L4" s="3" t="str">
        <f t="shared" ca="1" si="10"/>
        <v>EK8618</v>
      </c>
      <c r="M4" s="3" t="str">
        <f t="shared" ca="1" si="11"/>
        <v>Sedan</v>
      </c>
      <c r="N4" s="3" t="str">
        <f t="shared" ca="1" si="12"/>
        <v>High</v>
      </c>
      <c r="O4" s="3" t="str">
        <f t="shared" ca="1" si="13"/>
        <v>No</v>
      </c>
      <c r="P4" s="3" t="str">
        <f t="shared" ca="1" si="14"/>
        <v>Saturday</v>
      </c>
      <c r="Q4" s="3">
        <f t="shared" ca="1" si="15"/>
        <v>2</v>
      </c>
    </row>
    <row r="5" spans="1:17">
      <c r="A5" s="3">
        <f t="shared" si="16"/>
        <v>4</v>
      </c>
      <c r="B5" s="4">
        <f t="shared" ca="1" si="0"/>
        <v>45466.894444444442</v>
      </c>
      <c r="C5" s="3" t="str">
        <f t="shared" ca="1" si="7"/>
        <v>78.737068,27.003424</v>
      </c>
      <c r="D5" s="3">
        <f t="shared" ca="1" si="1"/>
        <v>78.737067999999994</v>
      </c>
      <c r="E5" s="3">
        <f t="shared" ca="1" si="2"/>
        <v>27.003423999999999</v>
      </c>
      <c r="F5" s="3" t="str">
        <f t="shared" ca="1" si="8"/>
        <v>8.473759,26.276778</v>
      </c>
      <c r="G5" s="3">
        <f t="shared" ca="1" si="3"/>
        <v>8.4737589999999994</v>
      </c>
      <c r="H5" s="3">
        <f t="shared" ca="1" si="4"/>
        <v>26.276778</v>
      </c>
      <c r="I5" s="3">
        <f t="shared" ca="1" si="5"/>
        <v>3616.5155485751138</v>
      </c>
      <c r="J5" s="5">
        <f t="shared" ca="1" si="6"/>
        <v>381.65155485751137</v>
      </c>
      <c r="K5" s="3" t="str">
        <f t="shared" ca="1" si="9"/>
        <v>Apple Pay</v>
      </c>
      <c r="L5" s="3" t="str">
        <f t="shared" ca="1" si="10"/>
        <v>UZ8331</v>
      </c>
      <c r="M5" s="3" t="str">
        <f t="shared" ca="1" si="11"/>
        <v>SUV</v>
      </c>
      <c r="N5" s="3" t="str">
        <f t="shared" ca="1" si="12"/>
        <v>High</v>
      </c>
      <c r="O5" s="3" t="str">
        <f t="shared" ca="1" si="13"/>
        <v>No</v>
      </c>
      <c r="P5" s="3" t="str">
        <f t="shared" ca="1" si="14"/>
        <v>Monday</v>
      </c>
      <c r="Q5" s="3">
        <f t="shared" ca="1" si="15"/>
        <v>2</v>
      </c>
    </row>
    <row r="6" spans="1:17">
      <c r="A6" s="3">
        <f t="shared" si="16"/>
        <v>5</v>
      </c>
      <c r="B6" s="4">
        <f t="shared" ca="1" si="0"/>
        <v>44801.390972222223</v>
      </c>
      <c r="C6" s="3" t="str">
        <f t="shared" ca="1" si="7"/>
        <v>75.166902,-102.063859</v>
      </c>
      <c r="D6" s="3">
        <f t="shared" ca="1" si="1"/>
        <v>75.166901999999993</v>
      </c>
      <c r="E6" s="3">
        <f t="shared" ca="1" si="2"/>
        <v>-102.06385899999999</v>
      </c>
      <c r="F6" s="3" t="str">
        <f t="shared" ca="1" si="8"/>
        <v>-54.418965,19.274656</v>
      </c>
      <c r="G6" s="3">
        <f t="shared" ca="1" si="3"/>
        <v>-54.418965</v>
      </c>
      <c r="H6" s="3">
        <f t="shared" ca="1" si="4"/>
        <v>19.274656</v>
      </c>
      <c r="I6" s="3">
        <f t="shared" ca="1" si="5"/>
        <v>11318.980591175294</v>
      </c>
      <c r="J6" s="5">
        <f t="shared" ca="1" si="6"/>
        <v>1151.8980591175293</v>
      </c>
      <c r="K6" s="3" t="str">
        <f t="shared" ca="1" si="9"/>
        <v>PayPal</v>
      </c>
      <c r="L6" s="3" t="str">
        <f t="shared" ca="1" si="10"/>
        <v>XV1694</v>
      </c>
      <c r="M6" s="3" t="str">
        <f t="shared" ca="1" si="11"/>
        <v>Motorcycle</v>
      </c>
      <c r="N6" s="3" t="str">
        <f t="shared" ca="1" si="12"/>
        <v>Low</v>
      </c>
      <c r="O6" s="3" t="str">
        <f t="shared" ca="1" si="13"/>
        <v>Yes</v>
      </c>
      <c r="P6" s="3" t="str">
        <f t="shared" ca="1" si="14"/>
        <v>Monday</v>
      </c>
      <c r="Q6" s="3">
        <f t="shared" ca="1" si="15"/>
        <v>4</v>
      </c>
    </row>
    <row r="7" spans="1:17">
      <c r="A7" s="3">
        <f t="shared" si="16"/>
        <v>6</v>
      </c>
      <c r="B7" s="4">
        <f t="shared" ca="1" si="0"/>
        <v>44943.374305555561</v>
      </c>
      <c r="C7" s="3" t="str">
        <f t="shared" ca="1" si="7"/>
        <v>-8.866698,-97.941323</v>
      </c>
      <c r="D7" s="3">
        <f t="shared" ca="1" si="1"/>
        <v>-8.8666979999999995</v>
      </c>
      <c r="E7" s="3">
        <f t="shared" ca="1" si="2"/>
        <v>-97.941322999999997</v>
      </c>
      <c r="F7" s="3" t="str">
        <f t="shared" ca="1" si="8"/>
        <v>64.110176,13.710834</v>
      </c>
      <c r="G7" s="3">
        <f t="shared" ca="1" si="3"/>
        <v>64.110175999999996</v>
      </c>
      <c r="H7" s="3">
        <f t="shared" ca="1" si="4"/>
        <v>13.710834</v>
      </c>
      <c r="I7" s="3">
        <f t="shared" ca="1" si="5"/>
        <v>5958.7134437652576</v>
      </c>
      <c r="J7" s="5">
        <f t="shared" ca="1" si="6"/>
        <v>615.87134437652571</v>
      </c>
      <c r="K7" s="3" t="str">
        <f t="shared" ca="1" si="9"/>
        <v>PayPal</v>
      </c>
      <c r="L7" s="3" t="str">
        <f t="shared" ca="1" si="10"/>
        <v>AW7706</v>
      </c>
      <c r="M7" s="3" t="str">
        <f t="shared" ca="1" si="11"/>
        <v>Sedan</v>
      </c>
      <c r="N7" s="3" t="str">
        <f t="shared" ca="1" si="12"/>
        <v>Medium</v>
      </c>
      <c r="O7" s="3" t="str">
        <f t="shared" ca="1" si="13"/>
        <v>No</v>
      </c>
      <c r="P7" s="3" t="str">
        <f t="shared" ca="1" si="14"/>
        <v>Monday</v>
      </c>
      <c r="Q7" s="3">
        <f t="shared" ca="1" si="15"/>
        <v>3</v>
      </c>
    </row>
    <row r="8" spans="1:17">
      <c r="A8" s="3">
        <f t="shared" si="16"/>
        <v>7</v>
      </c>
      <c r="B8" s="4">
        <f t="shared" ca="1" si="0"/>
        <v>45510.442361111105</v>
      </c>
      <c r="C8" s="3" t="str">
        <f t="shared" ca="1" si="7"/>
        <v>18.698041,-31.542299</v>
      </c>
      <c r="D8" s="3">
        <f t="shared" ca="1" si="1"/>
        <v>18.698041</v>
      </c>
      <c r="E8" s="3">
        <f t="shared" ca="1" si="2"/>
        <v>-31.542299</v>
      </c>
      <c r="F8" s="3" t="str">
        <f t="shared" ca="1" si="8"/>
        <v>0.976485,-100.686147</v>
      </c>
      <c r="G8" s="3">
        <f t="shared" ca="1" si="3"/>
        <v>0.97648500000000005</v>
      </c>
      <c r="H8" s="3">
        <f t="shared" ca="1" si="4"/>
        <v>-100.68614700000001</v>
      </c>
      <c r="I8" s="3">
        <f t="shared" ca="1" si="5"/>
        <v>7553.9577774214322</v>
      </c>
      <c r="J8" s="5">
        <f t="shared" ca="1" si="6"/>
        <v>775.3957777421432</v>
      </c>
      <c r="K8" s="3" t="str">
        <f t="shared" ca="1" si="9"/>
        <v>Apple Pay</v>
      </c>
      <c r="L8" s="3" t="str">
        <f t="shared" ca="1" si="10"/>
        <v>QU8174</v>
      </c>
      <c r="M8" s="3" t="str">
        <f t="shared" ca="1" si="11"/>
        <v>Motorcycle</v>
      </c>
      <c r="N8" s="3" t="str">
        <f t="shared" ca="1" si="12"/>
        <v>High</v>
      </c>
      <c r="O8" s="3" t="str">
        <f t="shared" ca="1" si="13"/>
        <v>No</v>
      </c>
      <c r="P8" s="3" t="str">
        <f t="shared" ca="1" si="14"/>
        <v>Wednesday</v>
      </c>
      <c r="Q8" s="3">
        <f t="shared" ca="1" si="15"/>
        <v>1</v>
      </c>
    </row>
    <row r="9" spans="1:17">
      <c r="A9" s="3">
        <f t="shared" si="16"/>
        <v>8</v>
      </c>
      <c r="B9" s="4">
        <f t="shared" ca="1" si="0"/>
        <v>44716.997222222228</v>
      </c>
      <c r="C9" s="3" t="str">
        <f t="shared" ca="1" si="7"/>
        <v>-77.892694,65.238074</v>
      </c>
      <c r="D9" s="3">
        <f t="shared" ca="1" si="1"/>
        <v>-77.892694000000006</v>
      </c>
      <c r="E9" s="3">
        <f t="shared" ca="1" si="2"/>
        <v>65.238073999999997</v>
      </c>
      <c r="F9" s="3" t="str">
        <f t="shared" ca="1" si="8"/>
        <v>13.095974,45.323957</v>
      </c>
      <c r="G9" s="3">
        <f t="shared" ca="1" si="3"/>
        <v>13.095974</v>
      </c>
      <c r="H9" s="3">
        <f t="shared" ca="1" si="4"/>
        <v>45.323957</v>
      </c>
      <c r="I9" s="3">
        <f t="shared" ca="1" si="5"/>
        <v>9980.6929149222397</v>
      </c>
      <c r="J9" s="5">
        <f t="shared" ca="1" si="6"/>
        <v>1018.069291492224</v>
      </c>
      <c r="K9" s="3" t="str">
        <f t="shared" ca="1" si="9"/>
        <v>Visa</v>
      </c>
      <c r="L9" s="3" t="str">
        <f t="shared" ca="1" si="10"/>
        <v>HV7774</v>
      </c>
      <c r="M9" s="3" t="str">
        <f t="shared" ca="1" si="11"/>
        <v>Motorcycle</v>
      </c>
      <c r="N9" s="3" t="str">
        <f t="shared" ca="1" si="12"/>
        <v>Low</v>
      </c>
      <c r="O9" s="3" t="str">
        <f t="shared" ca="1" si="13"/>
        <v>Yes</v>
      </c>
      <c r="P9" s="3" t="str">
        <f t="shared" ca="1" si="14"/>
        <v>Wednesday</v>
      </c>
      <c r="Q9" s="3">
        <f t="shared" ca="1" si="15"/>
        <v>2</v>
      </c>
    </row>
    <row r="10" spans="1:17">
      <c r="A10" s="3">
        <f t="shared" si="16"/>
        <v>9</v>
      </c>
      <c r="B10" s="4">
        <f t="shared" ca="1" si="0"/>
        <v>45635.564583333333</v>
      </c>
      <c r="C10" s="3" t="str">
        <f t="shared" ca="1" si="7"/>
        <v>85.954811,27.011615</v>
      </c>
      <c r="D10" s="3">
        <f t="shared" ca="1" si="1"/>
        <v>85.954811000000007</v>
      </c>
      <c r="E10" s="3">
        <f t="shared" ca="1" si="2"/>
        <v>27.011614999999999</v>
      </c>
      <c r="F10" s="3" t="str">
        <f t="shared" ca="1" si="8"/>
        <v>19.031307,17.19887</v>
      </c>
      <c r="G10" s="3">
        <f t="shared" ca="1" si="3"/>
        <v>19.031307000000002</v>
      </c>
      <c r="H10" s="3">
        <f t="shared" ca="1" si="4"/>
        <v>17.198869999999999</v>
      </c>
      <c r="I10" s="3">
        <f t="shared" ca="1" si="5"/>
        <v>4072.9810298471002</v>
      </c>
      <c r="J10" s="5">
        <f t="shared" ca="1" si="6"/>
        <v>427.29810298471</v>
      </c>
      <c r="K10" s="3" t="str">
        <f t="shared" ca="1" si="9"/>
        <v>Cash</v>
      </c>
      <c r="L10" s="3" t="str">
        <f t="shared" ca="1" si="10"/>
        <v>HK8291</v>
      </c>
      <c r="M10" s="3" t="str">
        <f t="shared" ca="1" si="11"/>
        <v>Sedan</v>
      </c>
      <c r="N10" s="3" t="str">
        <f t="shared" ca="1" si="12"/>
        <v>Medium</v>
      </c>
      <c r="O10" s="3" t="str">
        <f t="shared" ca="1" si="13"/>
        <v>Yes</v>
      </c>
      <c r="P10" s="3" t="str">
        <f t="shared" ca="1" si="14"/>
        <v>Tuesday</v>
      </c>
      <c r="Q10" s="3">
        <f t="shared" ca="1" si="15"/>
        <v>3</v>
      </c>
    </row>
    <row r="11" spans="1:17">
      <c r="A11" s="3">
        <f t="shared" si="16"/>
        <v>10</v>
      </c>
      <c r="B11" s="4">
        <f t="shared" ca="1" si="0"/>
        <v>44657.619444444448</v>
      </c>
      <c r="C11" s="3" t="str">
        <f t="shared" ca="1" si="7"/>
        <v>0.755357,-114.072702</v>
      </c>
      <c r="D11" s="3">
        <f t="shared" ca="1" si="1"/>
        <v>0.75535699999999995</v>
      </c>
      <c r="E11" s="3">
        <f t="shared" ca="1" si="2"/>
        <v>-114.07270200000001</v>
      </c>
      <c r="F11" s="3" t="str">
        <f t="shared" ca="1" si="8"/>
        <v>-15.071038,153.905418</v>
      </c>
      <c r="G11" s="3">
        <f t="shared" ca="1" si="3"/>
        <v>-15.071038</v>
      </c>
      <c r="H11" s="3">
        <f t="shared" ca="1" si="4"/>
        <v>153.905418</v>
      </c>
      <c r="I11" s="3">
        <f t="shared" ca="1" si="5"/>
        <v>4639.9971121181625</v>
      </c>
      <c r="J11" s="5">
        <f t="shared" ca="1" si="6"/>
        <v>483.99971121181625</v>
      </c>
      <c r="K11" s="3" t="str">
        <f t="shared" ca="1" si="9"/>
        <v>PayPal</v>
      </c>
      <c r="L11" s="3" t="str">
        <f t="shared" ca="1" si="10"/>
        <v>ZF7783</v>
      </c>
      <c r="M11" s="3" t="str">
        <f t="shared" ca="1" si="11"/>
        <v>Motorcycle</v>
      </c>
      <c r="N11" s="3" t="str">
        <f t="shared" ca="1" si="12"/>
        <v>Medium</v>
      </c>
      <c r="O11" s="3" t="str">
        <f t="shared" ca="1" si="13"/>
        <v>Yes</v>
      </c>
      <c r="P11" s="3" t="str">
        <f t="shared" ca="1" si="14"/>
        <v>Friday</v>
      </c>
      <c r="Q11" s="3">
        <f t="shared" ca="1" si="15"/>
        <v>4</v>
      </c>
    </row>
    <row r="12" spans="1:17">
      <c r="A12" s="3">
        <f t="shared" si="16"/>
        <v>11</v>
      </c>
      <c r="B12" s="4">
        <f t="shared" ca="1" si="0"/>
        <v>44990.573611111111</v>
      </c>
      <c r="C12" s="3" t="str">
        <f t="shared" ca="1" si="7"/>
        <v>7.364037,-46.239459</v>
      </c>
      <c r="D12" s="3">
        <f t="shared" ca="1" si="1"/>
        <v>7.3640369999999997</v>
      </c>
      <c r="E12" s="3">
        <f t="shared" ca="1" si="2"/>
        <v>-46.239458999999997</v>
      </c>
      <c r="F12" s="3" t="str">
        <f t="shared" ca="1" si="8"/>
        <v>32.233905,8.356484</v>
      </c>
      <c r="G12" s="3">
        <f t="shared" ca="1" si="3"/>
        <v>32.233905</v>
      </c>
      <c r="H12" s="3">
        <f t="shared" ca="1" si="4"/>
        <v>8.356484</v>
      </c>
      <c r="I12" s="3">
        <f t="shared" ca="1" si="5"/>
        <v>3985.4778072264512</v>
      </c>
      <c r="J12" s="5">
        <f t="shared" ca="1" si="6"/>
        <v>418.54778072264509</v>
      </c>
      <c r="K12" s="3" t="str">
        <f t="shared" ca="1" si="9"/>
        <v>Visa</v>
      </c>
      <c r="L12" s="3" t="str">
        <f t="shared" ca="1" si="10"/>
        <v>VJ0953</v>
      </c>
      <c r="M12" s="3" t="str">
        <f t="shared" ca="1" si="11"/>
        <v>Sedan</v>
      </c>
      <c r="N12" s="3" t="str">
        <f t="shared" ca="1" si="12"/>
        <v>Medium</v>
      </c>
      <c r="O12" s="3" t="str">
        <f t="shared" ca="1" si="13"/>
        <v>No</v>
      </c>
      <c r="P12" s="3" t="str">
        <f t="shared" ca="1" si="14"/>
        <v>Saturday</v>
      </c>
      <c r="Q12" s="3">
        <f t="shared" ca="1" si="15"/>
        <v>3</v>
      </c>
    </row>
    <row r="13" spans="1:17">
      <c r="A13" s="3">
        <f t="shared" si="16"/>
        <v>12</v>
      </c>
      <c r="B13" s="4">
        <f t="shared" ca="1" si="0"/>
        <v>45503.506249999999</v>
      </c>
      <c r="C13" s="3" t="str">
        <f t="shared" ref="C13:C22" ca="1" si="17">RANDBETWEEN(-90,90)+RANDBETWEEN(0,999999)/1000000&amp;","&amp;RANDBETWEEN(-180,180)+RANDBETWEEN(0,999999)/1000000</f>
        <v>-57.170409,93.337858</v>
      </c>
      <c r="D13" s="3">
        <f t="shared" ca="1" si="1"/>
        <v>-57.170408999999999</v>
      </c>
      <c r="E13" s="3">
        <f t="shared" ca="1" si="2"/>
        <v>93.337857999999997</v>
      </c>
      <c r="F13" s="3" t="str">
        <f t="shared" ref="F13:F22" ca="1" si="18">RANDBETWEEN(-90,90)+RANDBETWEEN(0,999999)/1000000&amp;","&amp;RANDBETWEEN(-180,180)+RANDBETWEEN(0,999999)/1000000</f>
        <v>-69.394685,-67.656439</v>
      </c>
      <c r="G13" s="3">
        <f t="shared" ca="1" si="3"/>
        <v>-69.394684999999996</v>
      </c>
      <c r="H13" s="3">
        <f t="shared" ca="1" si="4"/>
        <v>-67.656439000000006</v>
      </c>
      <c r="I13" s="3">
        <f t="shared" ca="1" si="5"/>
        <v>10399.640977181287</v>
      </c>
      <c r="J13" s="5">
        <f t="shared" ca="1" si="6"/>
        <v>1059.9640977181286</v>
      </c>
      <c r="K13" s="3" t="str">
        <f t="shared" ref="K13:K22" ca="1" si="19">CHOOSE(RANDBETWEEN(1,5),"Cash","PayPal","Visa","Apple Pay","Debit Card")</f>
        <v>Apple Pay</v>
      </c>
      <c r="L13" s="3" t="str">
        <f t="shared" ref="L13:L22" ca="1" si="20">CHAR(RANDBETWEEN(65,90))&amp;CHAR(RANDBETWEEN(65,90))&amp;RANDBETWEEN(0,9)&amp;RANDBETWEEN(0,9)&amp;RANDBETWEEN(0,9)&amp;RANDBETWEEN(0,9)</f>
        <v>YC0227</v>
      </c>
      <c r="M13" s="3" t="str">
        <f t="shared" ref="M13:M22" ca="1" si="21">CHOOSE(RANDBETWEEN(1,4),"SUV","Motorcycle","Bus","Sedan")</f>
        <v>Motorcycle</v>
      </c>
      <c r="N13" s="3" t="str">
        <f t="shared" ref="N13:N22" ca="1" si="22">CHOOSE(RANDBETWEEN(1,3),"Low","Medium","High")</f>
        <v>High</v>
      </c>
      <c r="O13" s="3" t="str">
        <f t="shared" ref="O13:O22" ca="1" si="23">CHOOSE(RANDBETWEEN(1,2),"Yes","No")</f>
        <v>Yes</v>
      </c>
      <c r="P13" s="3" t="str">
        <f t="shared" ref="P13:P22" ca="1" si="24">CHOOSE(RANDBETWEEN(1,7),"Saturday","Sunday","Monday","Tuesday","Wednesday","Thursday","Friday")</f>
        <v>Thursday</v>
      </c>
      <c r="Q13" s="3">
        <f t="shared" ref="Q13:Q22" ca="1" si="25">RANDBETWEEN(1,5)</f>
        <v>5</v>
      </c>
    </row>
    <row r="14" spans="1:17">
      <c r="A14" s="3">
        <f t="shared" si="16"/>
        <v>13</v>
      </c>
      <c r="B14" s="4">
        <f t="shared" ca="1" si="0"/>
        <v>45250.571527777778</v>
      </c>
      <c r="C14" s="3" t="str">
        <f t="shared" ca="1" si="17"/>
        <v>1.741279,155.721768</v>
      </c>
      <c r="D14" s="3">
        <f t="shared" ca="1" si="1"/>
        <v>1.741279</v>
      </c>
      <c r="E14" s="3">
        <f t="shared" ca="1" si="2"/>
        <v>155.721768</v>
      </c>
      <c r="F14" s="3" t="str">
        <f t="shared" ca="1" si="18"/>
        <v>-51.348188,-124.311098</v>
      </c>
      <c r="G14" s="3">
        <f t="shared" ca="1" si="3"/>
        <v>-51.348188</v>
      </c>
      <c r="H14" s="3">
        <f t="shared" ca="1" si="4"/>
        <v>-124.311098</v>
      </c>
      <c r="I14" s="3">
        <f t="shared" ca="1" si="5"/>
        <v>7237.395986753967</v>
      </c>
      <c r="J14" s="5">
        <f t="shared" ca="1" si="6"/>
        <v>743.73959867539668</v>
      </c>
      <c r="K14" s="3" t="str">
        <f t="shared" ca="1" si="19"/>
        <v>Cash</v>
      </c>
      <c r="L14" s="3" t="str">
        <f t="shared" ca="1" si="20"/>
        <v>RB5762</v>
      </c>
      <c r="M14" s="3" t="str">
        <f t="shared" ca="1" si="21"/>
        <v>Bus</v>
      </c>
      <c r="N14" s="3" t="str">
        <f t="shared" ca="1" si="22"/>
        <v>High</v>
      </c>
      <c r="O14" s="3" t="str">
        <f t="shared" ca="1" si="23"/>
        <v>No</v>
      </c>
      <c r="P14" s="3" t="str">
        <f t="shared" ca="1" si="24"/>
        <v>Wednesday</v>
      </c>
      <c r="Q14" s="3">
        <f t="shared" ca="1" si="25"/>
        <v>5</v>
      </c>
    </row>
    <row r="15" spans="1:17">
      <c r="A15" s="3">
        <f t="shared" si="16"/>
        <v>14</v>
      </c>
      <c r="B15" s="4">
        <f t="shared" ca="1" si="0"/>
        <v>45441.129861111112</v>
      </c>
      <c r="C15" s="3" t="str">
        <f t="shared" ca="1" si="17"/>
        <v>-13.160887,1.560743</v>
      </c>
      <c r="D15" s="3">
        <f t="shared" ca="1" si="1"/>
        <v>-13.160887000000001</v>
      </c>
      <c r="E15" s="3">
        <f t="shared" ca="1" si="2"/>
        <v>1.560743</v>
      </c>
      <c r="F15" s="3" t="str">
        <f t="shared" ca="1" si="18"/>
        <v>-68.538402,-74.772382</v>
      </c>
      <c r="G15" s="3">
        <f t="shared" ca="1" si="3"/>
        <v>-68.538402000000005</v>
      </c>
      <c r="H15" s="3">
        <f t="shared" ca="1" si="4"/>
        <v>-74.772381999999993</v>
      </c>
      <c r="I15" s="3">
        <f t="shared" ca="1" si="5"/>
        <v>1103.34182240261</v>
      </c>
      <c r="J15" s="5">
        <f t="shared" ca="1" si="6"/>
        <v>130.33418224026099</v>
      </c>
      <c r="K15" s="3" t="str">
        <f t="shared" ca="1" si="19"/>
        <v>PayPal</v>
      </c>
      <c r="L15" s="3" t="str">
        <f t="shared" ca="1" si="20"/>
        <v>FS9027</v>
      </c>
      <c r="M15" s="3" t="str">
        <f t="shared" ca="1" si="21"/>
        <v>SUV</v>
      </c>
      <c r="N15" s="3" t="str">
        <f t="shared" ca="1" si="22"/>
        <v>High</v>
      </c>
      <c r="O15" s="3" t="str">
        <f t="shared" ca="1" si="23"/>
        <v>No</v>
      </c>
      <c r="P15" s="3" t="str">
        <f t="shared" ca="1" si="24"/>
        <v>Saturday</v>
      </c>
      <c r="Q15" s="3">
        <f t="shared" ca="1" si="25"/>
        <v>5</v>
      </c>
    </row>
    <row r="16" spans="1:17">
      <c r="A16" s="3">
        <f t="shared" si="16"/>
        <v>15</v>
      </c>
      <c r="B16" s="4">
        <f t="shared" ca="1" si="0"/>
        <v>44737.440277777772</v>
      </c>
      <c r="C16" s="3" t="str">
        <f t="shared" ca="1" si="17"/>
        <v>-47.414109,-72.502226</v>
      </c>
      <c r="D16" s="3">
        <f t="shared" ca="1" si="1"/>
        <v>-47.414109000000003</v>
      </c>
      <c r="E16" s="3">
        <f t="shared" ca="1" si="2"/>
        <v>-72.502225999999993</v>
      </c>
      <c r="F16" s="3" t="str">
        <f t="shared" ca="1" si="18"/>
        <v>11.075008,177.6962</v>
      </c>
      <c r="G16" s="3">
        <f t="shared" ca="1" si="3"/>
        <v>11.075008</v>
      </c>
      <c r="H16" s="3">
        <f t="shared" ca="1" si="4"/>
        <v>177.6962</v>
      </c>
      <c r="I16" s="3">
        <f t="shared" ca="1" si="5"/>
        <v>4126.3689664384592</v>
      </c>
      <c r="J16" s="5">
        <f t="shared" ca="1" si="6"/>
        <v>432.63689664384594</v>
      </c>
      <c r="K16" s="3" t="str">
        <f t="shared" ca="1" si="19"/>
        <v>Apple Pay</v>
      </c>
      <c r="L16" s="3" t="str">
        <f t="shared" ca="1" si="20"/>
        <v>UW5585</v>
      </c>
      <c r="M16" s="3" t="str">
        <f t="shared" ca="1" si="21"/>
        <v>Motorcycle</v>
      </c>
      <c r="N16" s="3" t="str">
        <f t="shared" ca="1" si="22"/>
        <v>Medium</v>
      </c>
      <c r="O16" s="3" t="str">
        <f t="shared" ca="1" si="23"/>
        <v>No</v>
      </c>
      <c r="P16" s="3" t="str">
        <f t="shared" ca="1" si="24"/>
        <v>Wednesday</v>
      </c>
      <c r="Q16" s="3">
        <f t="shared" ca="1" si="25"/>
        <v>3</v>
      </c>
    </row>
    <row r="17" spans="1:17">
      <c r="A17" s="3">
        <f t="shared" si="16"/>
        <v>16</v>
      </c>
      <c r="B17" s="4">
        <f t="shared" ca="1" si="0"/>
        <v>45145.747222222228</v>
      </c>
      <c r="C17" s="3" t="str">
        <f t="shared" ca="1" si="17"/>
        <v>44.32535,35.889607</v>
      </c>
      <c r="D17" s="3">
        <f t="shared" ca="1" si="1"/>
        <v>44.32535</v>
      </c>
      <c r="E17" s="3">
        <f t="shared" ca="1" si="2"/>
        <v>35.889606999999998</v>
      </c>
      <c r="F17" s="3" t="str">
        <f t="shared" ca="1" si="18"/>
        <v>-40.23199,-134.569452</v>
      </c>
      <c r="G17" s="3">
        <f t="shared" ca="1" si="3"/>
        <v>-40.231990000000003</v>
      </c>
      <c r="H17" s="3">
        <f t="shared" ca="1" si="4"/>
        <v>-134.56945200000001</v>
      </c>
      <c r="I17" s="3">
        <f t="shared" ca="1" si="5"/>
        <v>4736.2472679359389</v>
      </c>
      <c r="J17" s="5">
        <f t="shared" ca="1" si="6"/>
        <v>493.62472679359394</v>
      </c>
      <c r="K17" s="3" t="str">
        <f t="shared" ca="1" si="19"/>
        <v>Debit Card</v>
      </c>
      <c r="L17" s="3" t="str">
        <f t="shared" ca="1" si="20"/>
        <v>WZ4220</v>
      </c>
      <c r="M17" s="3" t="str">
        <f t="shared" ca="1" si="21"/>
        <v>Motorcycle</v>
      </c>
      <c r="N17" s="3" t="str">
        <f t="shared" ca="1" si="22"/>
        <v>Low</v>
      </c>
      <c r="O17" s="3" t="str">
        <f t="shared" ca="1" si="23"/>
        <v>No</v>
      </c>
      <c r="P17" s="3" t="str">
        <f t="shared" ca="1" si="24"/>
        <v>Monday</v>
      </c>
      <c r="Q17" s="3">
        <f t="shared" ca="1" si="25"/>
        <v>2</v>
      </c>
    </row>
    <row r="18" spans="1:17">
      <c r="A18" s="3">
        <f t="shared" si="16"/>
        <v>17</v>
      </c>
      <c r="B18" s="4">
        <f t="shared" ca="1" si="0"/>
        <v>44838.563888888886</v>
      </c>
      <c r="C18" s="3" t="str">
        <f t="shared" ca="1" si="17"/>
        <v>15.872171,8.854018</v>
      </c>
      <c r="D18" s="3">
        <f t="shared" ca="1" si="1"/>
        <v>15.872171</v>
      </c>
      <c r="E18" s="3">
        <f t="shared" ca="1" si="2"/>
        <v>8.8540179999999999</v>
      </c>
      <c r="F18" s="3" t="str">
        <f t="shared" ca="1" si="18"/>
        <v>-62.137354,-128.984136</v>
      </c>
      <c r="G18" s="3">
        <f t="shared" ca="1" si="3"/>
        <v>-62.137354000000002</v>
      </c>
      <c r="H18" s="3">
        <f t="shared" ca="1" si="4"/>
        <v>-128.98413600000001</v>
      </c>
      <c r="I18" s="3">
        <f t="shared" ca="1" si="5"/>
        <v>4521.1229442729345</v>
      </c>
      <c r="J18" s="5">
        <f t="shared" ca="1" si="6"/>
        <v>472.11229442729348</v>
      </c>
      <c r="K18" s="3" t="str">
        <f t="shared" ca="1" si="19"/>
        <v>Visa</v>
      </c>
      <c r="L18" s="3" t="str">
        <f t="shared" ca="1" si="20"/>
        <v>RS2524</v>
      </c>
      <c r="M18" s="3" t="str">
        <f t="shared" ca="1" si="21"/>
        <v>Motorcycle</v>
      </c>
      <c r="N18" s="3" t="str">
        <f t="shared" ca="1" si="22"/>
        <v>High</v>
      </c>
      <c r="O18" s="3" t="str">
        <f t="shared" ca="1" si="23"/>
        <v>Yes</v>
      </c>
      <c r="P18" s="3" t="str">
        <f t="shared" ca="1" si="24"/>
        <v>Sunday</v>
      </c>
      <c r="Q18" s="3">
        <f t="shared" ca="1" si="25"/>
        <v>4</v>
      </c>
    </row>
    <row r="19" spans="1:17">
      <c r="A19" s="3">
        <f t="shared" si="16"/>
        <v>18</v>
      </c>
      <c r="B19" s="4">
        <f t="shared" ca="1" si="0"/>
        <v>45389.261805555558</v>
      </c>
      <c r="C19" s="3" t="str">
        <f t="shared" ca="1" si="17"/>
        <v>34.796026,-90.614714</v>
      </c>
      <c r="D19" s="3">
        <f t="shared" ca="1" si="1"/>
        <v>34.796025999999998</v>
      </c>
      <c r="E19" s="3">
        <f t="shared" ca="1" si="2"/>
        <v>-90.614714000000006</v>
      </c>
      <c r="F19" s="3" t="str">
        <f t="shared" ca="1" si="18"/>
        <v>-31.40682,164.8249</v>
      </c>
      <c r="G19" s="3">
        <f t="shared" ca="1" si="3"/>
        <v>-31.40682</v>
      </c>
      <c r="H19" s="3">
        <f t="shared" ca="1" si="4"/>
        <v>164.82490000000001</v>
      </c>
      <c r="I19" s="3">
        <f t="shared" ca="1" si="5"/>
        <v>8582.3096512772336</v>
      </c>
      <c r="J19" s="5">
        <f t="shared" ca="1" si="6"/>
        <v>878.23096512772338</v>
      </c>
      <c r="K19" s="3" t="str">
        <f t="shared" ca="1" si="19"/>
        <v>PayPal</v>
      </c>
      <c r="L19" s="3" t="str">
        <f t="shared" ca="1" si="20"/>
        <v>ZG7589</v>
      </c>
      <c r="M19" s="3" t="str">
        <f t="shared" ca="1" si="21"/>
        <v>Motorcycle</v>
      </c>
      <c r="N19" s="3" t="str">
        <f t="shared" ca="1" si="22"/>
        <v>Low</v>
      </c>
      <c r="O19" s="3" t="str">
        <f t="shared" ca="1" si="23"/>
        <v>Yes</v>
      </c>
      <c r="P19" s="3" t="str">
        <f t="shared" ca="1" si="24"/>
        <v>Monday</v>
      </c>
      <c r="Q19" s="3">
        <f t="shared" ca="1" si="25"/>
        <v>1</v>
      </c>
    </row>
    <row r="20" spans="1:17">
      <c r="A20" s="3">
        <f t="shared" si="16"/>
        <v>19</v>
      </c>
      <c r="B20" s="4">
        <f t="shared" ca="1" si="0"/>
        <v>44847.384027777778</v>
      </c>
      <c r="C20" s="3" t="str">
        <f t="shared" ca="1" si="17"/>
        <v>-72.548708,-57.413387</v>
      </c>
      <c r="D20" s="3">
        <f t="shared" ca="1" si="1"/>
        <v>-72.548708000000005</v>
      </c>
      <c r="E20" s="3">
        <f t="shared" ca="1" si="2"/>
        <v>-57.413387</v>
      </c>
      <c r="F20" s="3" t="str">
        <f t="shared" ca="1" si="18"/>
        <v>83.287957,-120.762799</v>
      </c>
      <c r="G20" s="3">
        <f t="shared" ca="1" si="3"/>
        <v>83.287957000000006</v>
      </c>
      <c r="H20" s="3">
        <f t="shared" ca="1" si="4"/>
        <v>-120.762799</v>
      </c>
      <c r="I20" s="3">
        <f t="shared" ca="1" si="5"/>
        <v>3384.5033143715673</v>
      </c>
      <c r="J20" s="5">
        <f t="shared" ca="1" si="6"/>
        <v>358.45033143715676</v>
      </c>
      <c r="K20" s="3" t="str">
        <f t="shared" ca="1" si="19"/>
        <v>Debit Card</v>
      </c>
      <c r="L20" s="3" t="str">
        <f t="shared" ca="1" si="20"/>
        <v>ZG7900</v>
      </c>
      <c r="M20" s="3" t="str">
        <f t="shared" ca="1" si="21"/>
        <v>Bus</v>
      </c>
      <c r="N20" s="3" t="str">
        <f t="shared" ca="1" si="22"/>
        <v>Medium</v>
      </c>
      <c r="O20" s="3" t="str">
        <f t="shared" ca="1" si="23"/>
        <v>Yes</v>
      </c>
      <c r="P20" s="3" t="str">
        <f t="shared" ca="1" si="24"/>
        <v>Friday</v>
      </c>
      <c r="Q20" s="3">
        <f t="shared" ca="1" si="25"/>
        <v>1</v>
      </c>
    </row>
    <row r="21" spans="1:17">
      <c r="A21" s="3">
        <f t="shared" si="16"/>
        <v>20</v>
      </c>
      <c r="B21" s="4">
        <f t="shared" ca="1" si="0"/>
        <v>45478.624305555561</v>
      </c>
      <c r="C21" s="3" t="str">
        <f t="shared" ca="1" si="17"/>
        <v>-70.858659,48.250981</v>
      </c>
      <c r="D21" s="3">
        <f t="shared" ca="1" si="1"/>
        <v>-70.858659000000003</v>
      </c>
      <c r="E21" s="3">
        <f t="shared" ca="1" si="2"/>
        <v>48.250981000000003</v>
      </c>
      <c r="F21" s="3" t="str">
        <f t="shared" ca="1" si="18"/>
        <v>65.803741,115.075674</v>
      </c>
      <c r="G21" s="3">
        <f t="shared" ca="1" si="3"/>
        <v>65.803741000000002</v>
      </c>
      <c r="H21" s="3">
        <f t="shared" ca="1" si="4"/>
        <v>115.07567400000001</v>
      </c>
      <c r="I21" s="3">
        <f t="shared" ca="1" si="5"/>
        <v>8583.2515655774005</v>
      </c>
      <c r="J21" s="5">
        <f t="shared" ca="1" si="6"/>
        <v>878.32515655774</v>
      </c>
      <c r="K21" s="3" t="str">
        <f t="shared" ca="1" si="19"/>
        <v>PayPal</v>
      </c>
      <c r="L21" s="3" t="str">
        <f t="shared" ca="1" si="20"/>
        <v>BE2078</v>
      </c>
      <c r="M21" s="3" t="str">
        <f t="shared" ca="1" si="21"/>
        <v>Motorcycle</v>
      </c>
      <c r="N21" s="3" t="str">
        <f t="shared" ca="1" si="22"/>
        <v>Low</v>
      </c>
      <c r="O21" s="3" t="str">
        <f t="shared" ca="1" si="23"/>
        <v>Yes</v>
      </c>
      <c r="P21" s="3" t="str">
        <f t="shared" ca="1" si="24"/>
        <v>Sunday</v>
      </c>
      <c r="Q21" s="3">
        <f t="shared" ca="1" si="25"/>
        <v>2</v>
      </c>
    </row>
    <row r="22" spans="1:17">
      <c r="A22" s="3">
        <f t="shared" si="16"/>
        <v>21</v>
      </c>
      <c r="B22" s="4">
        <f t="shared" ca="1" si="0"/>
        <v>44953.906944444447</v>
      </c>
      <c r="C22" s="3" t="str">
        <f t="shared" ca="1" si="17"/>
        <v>-4.540738,36.998132</v>
      </c>
      <c r="D22" s="3">
        <f t="shared" ca="1" si="1"/>
        <v>-4.5407380000000002</v>
      </c>
      <c r="E22" s="3">
        <f t="shared" ca="1" si="2"/>
        <v>36.998131999999998</v>
      </c>
      <c r="F22" s="3" t="str">
        <f t="shared" ca="1" si="18"/>
        <v>-75.960663,-145.976605</v>
      </c>
      <c r="G22" s="3">
        <f t="shared" ca="1" si="3"/>
        <v>-75.960662999999997</v>
      </c>
      <c r="H22" s="3">
        <f t="shared" ca="1" si="4"/>
        <v>-145.97660500000001</v>
      </c>
      <c r="I22" s="3">
        <f t="shared" ca="1" si="5"/>
        <v>5322.5569088326092</v>
      </c>
      <c r="J22" s="5">
        <f t="shared" ca="1" si="6"/>
        <v>552.25569088326085</v>
      </c>
      <c r="K22" s="3" t="str">
        <f t="shared" ca="1" si="19"/>
        <v>PayPal</v>
      </c>
      <c r="L22" s="3" t="str">
        <f t="shared" ca="1" si="20"/>
        <v>TP5104</v>
      </c>
      <c r="M22" s="3" t="str">
        <f t="shared" ca="1" si="21"/>
        <v>Motorcycle</v>
      </c>
      <c r="N22" s="3" t="str">
        <f t="shared" ca="1" si="22"/>
        <v>Low</v>
      </c>
      <c r="O22" s="3" t="str">
        <f t="shared" ca="1" si="23"/>
        <v>Yes</v>
      </c>
      <c r="P22" s="3" t="str">
        <f t="shared" ca="1" si="24"/>
        <v>Wednesday</v>
      </c>
      <c r="Q22" s="3">
        <f t="shared" ca="1" si="25"/>
        <v>3</v>
      </c>
    </row>
    <row r="23" spans="1:17">
      <c r="A23" s="3">
        <f t="shared" si="16"/>
        <v>22</v>
      </c>
      <c r="B23" s="4">
        <f t="shared" ca="1" si="0"/>
        <v>45083.397222222222</v>
      </c>
      <c r="C23" s="3" t="str">
        <f t="shared" ref="C23:C32" ca="1" si="26">RANDBETWEEN(-90,90)+RANDBETWEEN(0,999999)/1000000&amp;","&amp;RANDBETWEEN(-180,180)+RANDBETWEEN(0,999999)/1000000</f>
        <v>62.222282,-78.84029</v>
      </c>
      <c r="D23" s="3">
        <f t="shared" ca="1" si="1"/>
        <v>62.222282</v>
      </c>
      <c r="E23" s="3">
        <f t="shared" ca="1" si="2"/>
        <v>-78.840289999999996</v>
      </c>
      <c r="F23" s="3" t="str">
        <f t="shared" ref="F23:F32" ca="1" si="27">RANDBETWEEN(-90,90)+RANDBETWEEN(0,999999)/1000000&amp;","&amp;RANDBETWEEN(-180,180)+RANDBETWEEN(0,999999)/1000000</f>
        <v>-49.724786,-98.246246</v>
      </c>
      <c r="G23" s="3">
        <f t="shared" ca="1" si="3"/>
        <v>-49.724786000000002</v>
      </c>
      <c r="H23" s="3">
        <f t="shared" ca="1" si="4"/>
        <v>-98.246245999999999</v>
      </c>
      <c r="I23" s="3">
        <f t="shared" ca="1" si="5"/>
        <v>9945.158051099861</v>
      </c>
      <c r="J23" s="5">
        <f t="shared" ca="1" si="6"/>
        <v>1014.5158051099861</v>
      </c>
      <c r="K23" s="3" t="str">
        <f t="shared" ref="K23:K32" ca="1" si="28">CHOOSE(RANDBETWEEN(1,5),"Cash","PayPal","Visa","Apple Pay","Debit Card")</f>
        <v>Visa</v>
      </c>
      <c r="L23" s="3" t="str">
        <f t="shared" ref="L23:L32" ca="1" si="29">CHAR(RANDBETWEEN(65,90))&amp;CHAR(RANDBETWEEN(65,90))&amp;RANDBETWEEN(0,9)&amp;RANDBETWEEN(0,9)&amp;RANDBETWEEN(0,9)&amp;RANDBETWEEN(0,9)</f>
        <v>DS2371</v>
      </c>
      <c r="M23" s="3" t="str">
        <f t="shared" ref="M23:M32" ca="1" si="30">CHOOSE(RANDBETWEEN(1,4),"SUV","Motorcycle","Bus","Sedan")</f>
        <v>Sedan</v>
      </c>
      <c r="N23" s="3" t="str">
        <f t="shared" ref="N23:N32" ca="1" si="31">CHOOSE(RANDBETWEEN(1,3),"Low","Medium","High")</f>
        <v>Low</v>
      </c>
      <c r="O23" s="3" t="str">
        <f t="shared" ref="O23:O32" ca="1" si="32">CHOOSE(RANDBETWEEN(1,2),"Yes","No")</f>
        <v>Yes</v>
      </c>
      <c r="P23" s="3" t="str">
        <f t="shared" ref="P23:P32" ca="1" si="33">CHOOSE(RANDBETWEEN(1,7),"Saturday","Sunday","Monday","Tuesday","Wednesday","Thursday","Friday")</f>
        <v>Friday</v>
      </c>
      <c r="Q23" s="3">
        <f t="shared" ref="Q23:Q32" ca="1" si="34">RANDBETWEEN(1,5)</f>
        <v>2</v>
      </c>
    </row>
    <row r="24" spans="1:17">
      <c r="A24" s="3">
        <f t="shared" si="16"/>
        <v>23</v>
      </c>
      <c r="B24" s="4">
        <f t="shared" ca="1" si="0"/>
        <v>45592.591666666667</v>
      </c>
      <c r="C24" s="3" t="str">
        <f t="shared" ca="1" si="26"/>
        <v>19.687558,90.514008</v>
      </c>
      <c r="D24" s="3">
        <f t="shared" ca="1" si="1"/>
        <v>19.687557999999999</v>
      </c>
      <c r="E24" s="3">
        <f t="shared" ca="1" si="2"/>
        <v>90.514008000000004</v>
      </c>
      <c r="F24" s="3" t="str">
        <f t="shared" ca="1" si="27"/>
        <v>-77.831576,21.185219</v>
      </c>
      <c r="G24" s="3">
        <f t="shared" ca="1" si="3"/>
        <v>-77.831575999999998</v>
      </c>
      <c r="H24" s="3">
        <f t="shared" ca="1" si="4"/>
        <v>21.185219</v>
      </c>
      <c r="I24" s="3">
        <f t="shared" ca="1" si="5"/>
        <v>4852.9093268121524</v>
      </c>
      <c r="J24" s="5">
        <f t="shared" ca="1" si="6"/>
        <v>505.29093268121522</v>
      </c>
      <c r="K24" s="3" t="str">
        <f t="shared" ca="1" si="28"/>
        <v>Apple Pay</v>
      </c>
      <c r="L24" s="3" t="str">
        <f t="shared" ca="1" si="29"/>
        <v>VA3213</v>
      </c>
      <c r="M24" s="3" t="str">
        <f t="shared" ca="1" si="30"/>
        <v>Bus</v>
      </c>
      <c r="N24" s="3" t="str">
        <f t="shared" ca="1" si="31"/>
        <v>Low</v>
      </c>
      <c r="O24" s="3" t="str">
        <f t="shared" ca="1" si="32"/>
        <v>No</v>
      </c>
      <c r="P24" s="3" t="str">
        <f t="shared" ca="1" si="33"/>
        <v>Friday</v>
      </c>
      <c r="Q24" s="3">
        <f t="shared" ca="1" si="34"/>
        <v>1</v>
      </c>
    </row>
    <row r="25" spans="1:17">
      <c r="A25" s="3">
        <f t="shared" si="16"/>
        <v>24</v>
      </c>
      <c r="B25" s="4">
        <f t="shared" ca="1" si="0"/>
        <v>44622.186111111107</v>
      </c>
      <c r="C25" s="3" t="str">
        <f t="shared" ca="1" si="26"/>
        <v>23.809554,-23.939201</v>
      </c>
      <c r="D25" s="3">
        <f t="shared" ca="1" si="1"/>
        <v>23.809553999999999</v>
      </c>
      <c r="E25" s="3">
        <f t="shared" ca="1" si="2"/>
        <v>-23.939201000000001</v>
      </c>
      <c r="F25" s="3" t="str">
        <f t="shared" ca="1" si="27"/>
        <v>-51.454225,34.926573</v>
      </c>
      <c r="G25" s="3">
        <f t="shared" ca="1" si="3"/>
        <v>-51.454225000000001</v>
      </c>
      <c r="H25" s="3">
        <f t="shared" ca="1" si="4"/>
        <v>34.926572999999998</v>
      </c>
      <c r="I25" s="3">
        <f t="shared" ca="1" si="5"/>
        <v>6659.2298372709265</v>
      </c>
      <c r="J25" s="5">
        <f t="shared" ca="1" si="6"/>
        <v>685.92298372709263</v>
      </c>
      <c r="K25" s="3" t="str">
        <f t="shared" ca="1" si="28"/>
        <v>Debit Card</v>
      </c>
      <c r="L25" s="3" t="str">
        <f t="shared" ca="1" si="29"/>
        <v>UR3721</v>
      </c>
      <c r="M25" s="3" t="str">
        <f t="shared" ca="1" si="30"/>
        <v>Motorcycle</v>
      </c>
      <c r="N25" s="3" t="str">
        <f t="shared" ca="1" si="31"/>
        <v>High</v>
      </c>
      <c r="O25" s="3" t="str">
        <f t="shared" ca="1" si="32"/>
        <v>No</v>
      </c>
      <c r="P25" s="3" t="str">
        <f t="shared" ca="1" si="33"/>
        <v>Sunday</v>
      </c>
      <c r="Q25" s="3">
        <f t="shared" ca="1" si="34"/>
        <v>3</v>
      </c>
    </row>
    <row r="26" spans="1:17">
      <c r="A26" s="3">
        <f t="shared" si="16"/>
        <v>25</v>
      </c>
      <c r="B26" s="4">
        <f t="shared" ca="1" si="0"/>
        <v>45469.515972222223</v>
      </c>
      <c r="C26" s="3" t="str">
        <f t="shared" ca="1" si="26"/>
        <v>-73.400253,-118.359025</v>
      </c>
      <c r="D26" s="3">
        <f t="shared" ca="1" si="1"/>
        <v>-73.400253000000006</v>
      </c>
      <c r="E26" s="3">
        <f t="shared" ca="1" si="2"/>
        <v>-118.359025</v>
      </c>
      <c r="F26" s="3" t="str">
        <f t="shared" ca="1" si="27"/>
        <v>-80.220516,-39.895062</v>
      </c>
      <c r="G26" s="3">
        <f t="shared" ca="1" si="3"/>
        <v>-80.220516000000003</v>
      </c>
      <c r="H26" s="3">
        <f t="shared" ca="1" si="4"/>
        <v>-39.895062000000003</v>
      </c>
      <c r="I26" s="3">
        <f t="shared" ca="1" si="5"/>
        <v>2921.481241486189</v>
      </c>
      <c r="J26" s="5">
        <f t="shared" ca="1" si="6"/>
        <v>312.14812414861888</v>
      </c>
      <c r="K26" s="3" t="str">
        <f t="shared" ca="1" si="28"/>
        <v>Debit Card</v>
      </c>
      <c r="L26" s="3" t="str">
        <f t="shared" ca="1" si="29"/>
        <v>YY4842</v>
      </c>
      <c r="M26" s="3" t="str">
        <f t="shared" ca="1" si="30"/>
        <v>SUV</v>
      </c>
      <c r="N26" s="3" t="str">
        <f t="shared" ca="1" si="31"/>
        <v>Low</v>
      </c>
      <c r="O26" s="3" t="str">
        <f t="shared" ca="1" si="32"/>
        <v>No</v>
      </c>
      <c r="P26" s="3" t="str">
        <f t="shared" ca="1" si="33"/>
        <v>Wednesday</v>
      </c>
      <c r="Q26" s="3">
        <f t="shared" ca="1" si="34"/>
        <v>4</v>
      </c>
    </row>
    <row r="27" spans="1:17">
      <c r="A27" s="3">
        <f t="shared" si="16"/>
        <v>26</v>
      </c>
      <c r="B27" s="4">
        <f t="shared" ca="1" si="0"/>
        <v>45012.598611111112</v>
      </c>
      <c r="C27" s="3" t="str">
        <f t="shared" ca="1" si="26"/>
        <v>46.858251,-48.293471</v>
      </c>
      <c r="D27" s="3">
        <f t="shared" ca="1" si="1"/>
        <v>46.858251000000003</v>
      </c>
      <c r="E27" s="3">
        <f t="shared" ca="1" si="2"/>
        <v>-48.293470999999997</v>
      </c>
      <c r="F27" s="3" t="str">
        <f t="shared" ca="1" si="27"/>
        <v>81.096058,66.029402</v>
      </c>
      <c r="G27" s="3">
        <f t="shared" ca="1" si="3"/>
        <v>81.096057999999999</v>
      </c>
      <c r="H27" s="3">
        <f t="shared" ca="1" si="4"/>
        <v>66.029402000000005</v>
      </c>
      <c r="I27" s="3">
        <f t="shared" ca="1" si="5"/>
        <v>6636.9675836474144</v>
      </c>
      <c r="J27" s="5">
        <f t="shared" ca="1" si="6"/>
        <v>683.69675836474141</v>
      </c>
      <c r="K27" s="3" t="str">
        <f t="shared" ca="1" si="28"/>
        <v>Visa</v>
      </c>
      <c r="L27" s="3" t="str">
        <f t="shared" ca="1" si="29"/>
        <v>XS4007</v>
      </c>
      <c r="M27" s="3" t="str">
        <f t="shared" ca="1" si="30"/>
        <v>Sedan</v>
      </c>
      <c r="N27" s="3" t="str">
        <f t="shared" ca="1" si="31"/>
        <v>Medium</v>
      </c>
      <c r="O27" s="3" t="str">
        <f t="shared" ca="1" si="32"/>
        <v>Yes</v>
      </c>
      <c r="P27" s="3" t="str">
        <f t="shared" ca="1" si="33"/>
        <v>Tuesday</v>
      </c>
      <c r="Q27" s="3">
        <f t="shared" ca="1" si="34"/>
        <v>1</v>
      </c>
    </row>
    <row r="28" spans="1:17">
      <c r="A28" s="3">
        <f t="shared" si="16"/>
        <v>27</v>
      </c>
      <c r="B28" s="4">
        <f t="shared" ca="1" si="0"/>
        <v>45528.873611111114</v>
      </c>
      <c r="C28" s="3" t="str">
        <f t="shared" ca="1" si="26"/>
        <v>42.209487,32.798712</v>
      </c>
      <c r="D28" s="3">
        <f t="shared" ca="1" si="1"/>
        <v>42.209487000000003</v>
      </c>
      <c r="E28" s="3">
        <f t="shared" ca="1" si="2"/>
        <v>32.798712000000002</v>
      </c>
      <c r="F28" s="3" t="str">
        <f t="shared" ca="1" si="27"/>
        <v>-14.383961,55.067697</v>
      </c>
      <c r="G28" s="3">
        <f t="shared" ca="1" si="3"/>
        <v>-14.383960999999999</v>
      </c>
      <c r="H28" s="3">
        <f t="shared" ca="1" si="4"/>
        <v>55.067697000000003</v>
      </c>
      <c r="I28" s="3">
        <f t="shared" ca="1" si="5"/>
        <v>3757.2416379831188</v>
      </c>
      <c r="J28" s="5">
        <f t="shared" ca="1" si="6"/>
        <v>395.72416379831191</v>
      </c>
      <c r="K28" s="3" t="str">
        <f t="shared" ca="1" si="28"/>
        <v>Debit Card</v>
      </c>
      <c r="L28" s="3" t="str">
        <f t="shared" ca="1" si="29"/>
        <v>XJ1799</v>
      </c>
      <c r="M28" s="3" t="str">
        <f t="shared" ca="1" si="30"/>
        <v>Motorcycle</v>
      </c>
      <c r="N28" s="3" t="str">
        <f t="shared" ca="1" si="31"/>
        <v>Medium</v>
      </c>
      <c r="O28" s="3" t="str">
        <f t="shared" ca="1" si="32"/>
        <v>No</v>
      </c>
      <c r="P28" s="3" t="str">
        <f t="shared" ca="1" si="33"/>
        <v>Wednesday</v>
      </c>
      <c r="Q28" s="3">
        <f t="shared" ca="1" si="34"/>
        <v>2</v>
      </c>
    </row>
    <row r="29" spans="1:17">
      <c r="A29" s="3">
        <f t="shared" si="16"/>
        <v>28</v>
      </c>
      <c r="B29" s="4">
        <f t="shared" ca="1" si="0"/>
        <v>45093.454861111109</v>
      </c>
      <c r="C29" s="3" t="str">
        <f t="shared" ca="1" si="26"/>
        <v>-41.23147,-88.705434</v>
      </c>
      <c r="D29" s="3">
        <f t="shared" ca="1" si="1"/>
        <v>-41.231470000000002</v>
      </c>
      <c r="E29" s="3">
        <f t="shared" ca="1" si="2"/>
        <v>-88.705433999999997</v>
      </c>
      <c r="F29" s="3" t="str">
        <f t="shared" ca="1" si="27"/>
        <v>-45.887828,75.760106</v>
      </c>
      <c r="G29" s="3">
        <f t="shared" ca="1" si="3"/>
        <v>-45.887827999999999</v>
      </c>
      <c r="H29" s="3">
        <f t="shared" ca="1" si="4"/>
        <v>75.760105999999993</v>
      </c>
      <c r="I29" s="3">
        <f t="shared" ca="1" si="5"/>
        <v>3417.3549660877716</v>
      </c>
      <c r="J29" s="5">
        <f t="shared" ca="1" si="6"/>
        <v>361.73549660877717</v>
      </c>
      <c r="K29" s="3" t="str">
        <f t="shared" ca="1" si="28"/>
        <v>Cash</v>
      </c>
      <c r="L29" s="3" t="str">
        <f t="shared" ca="1" si="29"/>
        <v>UE2106</v>
      </c>
      <c r="M29" s="3" t="str">
        <f t="shared" ca="1" si="30"/>
        <v>SUV</v>
      </c>
      <c r="N29" s="3" t="str">
        <f t="shared" ca="1" si="31"/>
        <v>Low</v>
      </c>
      <c r="O29" s="3" t="str">
        <f t="shared" ca="1" si="32"/>
        <v>No</v>
      </c>
      <c r="P29" s="3" t="str">
        <f t="shared" ca="1" si="33"/>
        <v>Tuesday</v>
      </c>
      <c r="Q29" s="3">
        <f t="shared" ca="1" si="34"/>
        <v>4</v>
      </c>
    </row>
    <row r="30" spans="1:17">
      <c r="A30" s="3">
        <f t="shared" si="16"/>
        <v>29</v>
      </c>
      <c r="B30" s="4">
        <f t="shared" ca="1" si="0"/>
        <v>44882.086111111115</v>
      </c>
      <c r="C30" s="3" t="str">
        <f t="shared" ca="1" si="26"/>
        <v>10.647946,-161.552388</v>
      </c>
      <c r="D30" s="3">
        <f t="shared" ca="1" si="1"/>
        <v>10.647945999999999</v>
      </c>
      <c r="E30" s="3">
        <f t="shared" ca="1" si="2"/>
        <v>-161.55238800000001</v>
      </c>
      <c r="F30" s="3" t="str">
        <f t="shared" ca="1" si="27"/>
        <v>11.896646,-5.059133</v>
      </c>
      <c r="G30" s="3">
        <f t="shared" ca="1" si="3"/>
        <v>11.896646</v>
      </c>
      <c r="H30" s="3">
        <f t="shared" ca="1" si="4"/>
        <v>-5.0591330000000001</v>
      </c>
      <c r="I30" s="3">
        <f t="shared" ca="1" si="5"/>
        <v>11183.168559942482</v>
      </c>
      <c r="J30" s="5">
        <f t="shared" ca="1" si="6"/>
        <v>1138.3168559942483</v>
      </c>
      <c r="K30" s="3" t="str">
        <f t="shared" ca="1" si="28"/>
        <v>PayPal</v>
      </c>
      <c r="L30" s="3" t="str">
        <f t="shared" ca="1" si="29"/>
        <v>BB8097</v>
      </c>
      <c r="M30" s="3" t="str">
        <f t="shared" ca="1" si="30"/>
        <v>Motorcycle</v>
      </c>
      <c r="N30" s="3" t="str">
        <f t="shared" ca="1" si="31"/>
        <v>Low</v>
      </c>
      <c r="O30" s="3" t="str">
        <f t="shared" ca="1" si="32"/>
        <v>Yes</v>
      </c>
      <c r="P30" s="3" t="str">
        <f t="shared" ca="1" si="33"/>
        <v>Monday</v>
      </c>
      <c r="Q30" s="3">
        <f t="shared" ca="1" si="34"/>
        <v>1</v>
      </c>
    </row>
    <row r="31" spans="1:17">
      <c r="A31" s="3">
        <f t="shared" si="16"/>
        <v>30</v>
      </c>
      <c r="B31" s="4">
        <f t="shared" ca="1" si="0"/>
        <v>45280.541666666664</v>
      </c>
      <c r="C31" s="3" t="str">
        <f t="shared" ca="1" si="26"/>
        <v>-58.594061,165.238218</v>
      </c>
      <c r="D31" s="3">
        <f t="shared" ca="1" si="1"/>
        <v>-58.594061000000004</v>
      </c>
      <c r="E31" s="3">
        <f t="shared" ca="1" si="2"/>
        <v>165.23821799999999</v>
      </c>
      <c r="F31" s="3" t="str">
        <f t="shared" ca="1" si="27"/>
        <v>58.073095,-43.884534</v>
      </c>
      <c r="G31" s="3">
        <f t="shared" ca="1" si="3"/>
        <v>58.073095000000002</v>
      </c>
      <c r="H31" s="3">
        <f t="shared" ca="1" si="4"/>
        <v>-43.884534000000002</v>
      </c>
      <c r="I31" s="3">
        <f t="shared" ca="1" si="5"/>
        <v>6667.3853571595437</v>
      </c>
      <c r="J31" s="5">
        <f t="shared" ca="1" si="6"/>
        <v>686.7385357159543</v>
      </c>
      <c r="K31" s="3" t="str">
        <f t="shared" ca="1" si="28"/>
        <v>Cash</v>
      </c>
      <c r="L31" s="3" t="str">
        <f t="shared" ca="1" si="29"/>
        <v>RD4076</v>
      </c>
      <c r="M31" s="3" t="str">
        <f t="shared" ca="1" si="30"/>
        <v>Bus</v>
      </c>
      <c r="N31" s="3" t="str">
        <f t="shared" ca="1" si="31"/>
        <v>Medium</v>
      </c>
      <c r="O31" s="3" t="str">
        <f t="shared" ca="1" si="32"/>
        <v>No</v>
      </c>
      <c r="P31" s="3" t="str">
        <f t="shared" ca="1" si="33"/>
        <v>Friday</v>
      </c>
      <c r="Q31" s="3">
        <f t="shared" ca="1" si="34"/>
        <v>3</v>
      </c>
    </row>
    <row r="32" spans="1:17">
      <c r="A32" s="3">
        <f t="shared" si="16"/>
        <v>31</v>
      </c>
      <c r="B32" s="4">
        <f t="shared" ca="1" si="0"/>
        <v>45060.374305555561</v>
      </c>
      <c r="C32" s="3" t="str">
        <f t="shared" ca="1" si="26"/>
        <v>-23.758945,178.057259</v>
      </c>
      <c r="D32" s="3">
        <f t="shared" ca="1" si="1"/>
        <v>-23.758945000000001</v>
      </c>
      <c r="E32" s="3">
        <f t="shared" ca="1" si="2"/>
        <v>178.05725899999999</v>
      </c>
      <c r="F32" s="3" t="str">
        <f t="shared" ca="1" si="27"/>
        <v>-34.766334,-27.442175</v>
      </c>
      <c r="G32" s="3">
        <f t="shared" ca="1" si="3"/>
        <v>-34.766334000000001</v>
      </c>
      <c r="H32" s="3">
        <f t="shared" ca="1" si="4"/>
        <v>-27.442174999999999</v>
      </c>
      <c r="I32" s="3">
        <f t="shared" ca="1" si="5"/>
        <v>10852.505473071964</v>
      </c>
      <c r="J32" s="5">
        <f t="shared" ca="1" si="6"/>
        <v>1105.2505473071965</v>
      </c>
      <c r="K32" s="3" t="str">
        <f t="shared" ca="1" si="28"/>
        <v>Cash</v>
      </c>
      <c r="L32" s="3" t="str">
        <f t="shared" ca="1" si="29"/>
        <v>DH1086</v>
      </c>
      <c r="M32" s="3" t="str">
        <f t="shared" ca="1" si="30"/>
        <v>Motorcycle</v>
      </c>
      <c r="N32" s="3" t="str">
        <f t="shared" ca="1" si="31"/>
        <v>Low</v>
      </c>
      <c r="O32" s="3" t="str">
        <f t="shared" ca="1" si="32"/>
        <v>Yes</v>
      </c>
      <c r="P32" s="3" t="str">
        <f t="shared" ca="1" si="33"/>
        <v>Monday</v>
      </c>
      <c r="Q32" s="3">
        <f t="shared" ca="1" si="34"/>
        <v>5</v>
      </c>
    </row>
    <row r="33" spans="1:17">
      <c r="A33" s="3">
        <f t="shared" si="16"/>
        <v>32</v>
      </c>
      <c r="B33" s="4">
        <f t="shared" ca="1" si="0"/>
        <v>45233.089583333334</v>
      </c>
      <c r="C33" s="3" t="str">
        <f t="shared" ref="C33:C42" ca="1" si="35">RANDBETWEEN(-90,90)+RANDBETWEEN(0,999999)/1000000&amp;","&amp;RANDBETWEEN(-180,180)+RANDBETWEEN(0,999999)/1000000</f>
        <v>60.078075,36.254654</v>
      </c>
      <c r="D33" s="3">
        <f t="shared" ca="1" si="1"/>
        <v>60.078074999999998</v>
      </c>
      <c r="E33" s="3">
        <f t="shared" ca="1" si="2"/>
        <v>36.254654000000002</v>
      </c>
      <c r="F33" s="3" t="str">
        <f t="shared" ref="F33:F42" ca="1" si="36">RANDBETWEEN(-90,90)+RANDBETWEEN(0,999999)/1000000&amp;","&amp;RANDBETWEEN(-180,180)+RANDBETWEEN(0,999999)/1000000</f>
        <v>23.231061,83.073842</v>
      </c>
      <c r="G33" s="3">
        <f t="shared" ca="1" si="3"/>
        <v>23.231061</v>
      </c>
      <c r="H33" s="3">
        <f t="shared" ca="1" si="4"/>
        <v>83.073841999999999</v>
      </c>
      <c r="I33" s="3">
        <f t="shared" ca="1" si="5"/>
        <v>3067.0616296635176</v>
      </c>
      <c r="J33" s="5">
        <f t="shared" ca="1" si="6"/>
        <v>326.70616296635171</v>
      </c>
      <c r="K33" s="3" t="str">
        <f t="shared" ref="K33:K42" ca="1" si="37">CHOOSE(RANDBETWEEN(1,5),"Cash","PayPal","Visa","Apple Pay","Debit Card")</f>
        <v>PayPal</v>
      </c>
      <c r="L33" s="3" t="str">
        <f t="shared" ref="L33:L42" ca="1" si="38">CHAR(RANDBETWEEN(65,90))&amp;CHAR(RANDBETWEEN(65,90))&amp;RANDBETWEEN(0,9)&amp;RANDBETWEEN(0,9)&amp;RANDBETWEEN(0,9)&amp;RANDBETWEEN(0,9)</f>
        <v>RW2794</v>
      </c>
      <c r="M33" s="3" t="str">
        <f t="shared" ref="M33:M42" ca="1" si="39">CHOOSE(RANDBETWEEN(1,4),"SUV","Motorcycle","Bus","Sedan")</f>
        <v>Bus</v>
      </c>
      <c r="N33" s="3" t="str">
        <f t="shared" ref="N33:N42" ca="1" si="40">CHOOSE(RANDBETWEEN(1,3),"Low","Medium","High")</f>
        <v>Low</v>
      </c>
      <c r="O33" s="3" t="str">
        <f t="shared" ref="O33:O42" ca="1" si="41">CHOOSE(RANDBETWEEN(1,2),"Yes","No")</f>
        <v>No</v>
      </c>
      <c r="P33" s="3" t="str">
        <f t="shared" ref="P33:P42" ca="1" si="42">CHOOSE(RANDBETWEEN(1,7),"Saturday","Sunday","Monday","Tuesday","Wednesday","Thursday","Friday")</f>
        <v>Wednesday</v>
      </c>
      <c r="Q33" s="3">
        <f t="shared" ref="Q33:Q42" ca="1" si="43">RANDBETWEEN(1,5)</f>
        <v>1</v>
      </c>
    </row>
    <row r="34" spans="1:17">
      <c r="A34" s="3">
        <f t="shared" si="16"/>
        <v>33</v>
      </c>
      <c r="B34" s="4">
        <f t="shared" ca="1" si="0"/>
        <v>45331.14166666667</v>
      </c>
      <c r="C34" s="3" t="str">
        <f t="shared" ca="1" si="35"/>
        <v>-6.11925,55.015168</v>
      </c>
      <c r="D34" s="3">
        <f t="shared" ref="D34:D51" ca="1" si="44">VALUE(LEFT(C34,FIND(",",C34)-1))</f>
        <v>-6.1192500000000001</v>
      </c>
      <c r="E34" s="3">
        <f t="shared" ref="E34:E51" ca="1" si="45">VALUE(MID(C34,FIND(",",C34)+1,LEN(C34)))</f>
        <v>55.015168000000003</v>
      </c>
      <c r="F34" s="3" t="str">
        <f t="shared" ca="1" si="36"/>
        <v>-58.373676,-105.176897</v>
      </c>
      <c r="G34" s="3">
        <f t="shared" ref="G34:G51" ca="1" si="46">VALUE(LEFT(F34,FIND(",",F34)-1))</f>
        <v>-58.373676000000003</v>
      </c>
      <c r="H34" s="3">
        <f t="shared" ref="H34:H51" ca="1" si="47">VALUE(MID(F34,FIND(",",F34)+1,LEN(F34)))</f>
        <v>-105.176897</v>
      </c>
      <c r="I34" s="3">
        <f t="shared" ref="I34:I51" ca="1" si="48">3959*ACOS(SIN(RADIANS(D34))*SIN(RADIANS(E34))+(COS(RADIANS(D34))*COS(RADIANS(E34))*COS(RADIANS(H34)-RADIANS(G34))))</f>
        <v>5000.4812548894724</v>
      </c>
      <c r="J34" s="5">
        <f t="shared" ref="J34:J51" ca="1" si="49">(I34/100)*10+20</f>
        <v>520.04812548894733</v>
      </c>
      <c r="K34" s="3" t="str">
        <f t="shared" ca="1" si="37"/>
        <v>Debit Card</v>
      </c>
      <c r="L34" s="3" t="str">
        <f t="shared" ca="1" si="38"/>
        <v>GE3139</v>
      </c>
      <c r="M34" s="3" t="str">
        <f t="shared" ca="1" si="39"/>
        <v>SUV</v>
      </c>
      <c r="N34" s="3" t="str">
        <f t="shared" ca="1" si="40"/>
        <v>Medium</v>
      </c>
      <c r="O34" s="3" t="str">
        <f t="shared" ca="1" si="41"/>
        <v>Yes</v>
      </c>
      <c r="P34" s="3" t="str">
        <f t="shared" ca="1" si="42"/>
        <v>Friday</v>
      </c>
      <c r="Q34" s="3">
        <f t="shared" ca="1" si="43"/>
        <v>4</v>
      </c>
    </row>
    <row r="35" spans="1:17">
      <c r="A35" s="3">
        <f t="shared" si="16"/>
        <v>34</v>
      </c>
      <c r="B35" s="4">
        <f t="shared" ca="1" si="0"/>
        <v>44688.245138888895</v>
      </c>
      <c r="C35" s="3" t="str">
        <f t="shared" ca="1" si="35"/>
        <v>71.080304,-170.836863</v>
      </c>
      <c r="D35" s="3">
        <f t="shared" ca="1" si="44"/>
        <v>71.080303999999998</v>
      </c>
      <c r="E35" s="3">
        <f t="shared" ca="1" si="45"/>
        <v>-170.83686299999999</v>
      </c>
      <c r="F35" s="3" t="str">
        <f t="shared" ca="1" si="36"/>
        <v>-85.028162,-44.31382</v>
      </c>
      <c r="G35" s="3">
        <f t="shared" ca="1" si="46"/>
        <v>-85.028161999999995</v>
      </c>
      <c r="H35" s="3">
        <f t="shared" ca="1" si="47"/>
        <v>-44.31382</v>
      </c>
      <c r="I35" s="3">
        <f t="shared" ca="1" si="48"/>
        <v>7818.9654679981559</v>
      </c>
      <c r="J35" s="5">
        <f t="shared" ca="1" si="49"/>
        <v>801.89654679981561</v>
      </c>
      <c r="K35" s="3" t="str">
        <f t="shared" ca="1" si="37"/>
        <v>PayPal</v>
      </c>
      <c r="L35" s="3" t="str">
        <f t="shared" ca="1" si="38"/>
        <v>WY3953</v>
      </c>
      <c r="M35" s="3" t="str">
        <f t="shared" ca="1" si="39"/>
        <v>Bus</v>
      </c>
      <c r="N35" s="3" t="str">
        <f t="shared" ca="1" si="40"/>
        <v>High</v>
      </c>
      <c r="O35" s="3" t="str">
        <f t="shared" ca="1" si="41"/>
        <v>Yes</v>
      </c>
      <c r="P35" s="3" t="str">
        <f t="shared" ca="1" si="42"/>
        <v>Saturday</v>
      </c>
      <c r="Q35" s="3">
        <f t="shared" ca="1" si="43"/>
        <v>4</v>
      </c>
    </row>
    <row r="36" spans="1:17">
      <c r="A36" s="3">
        <f t="shared" si="16"/>
        <v>35</v>
      </c>
      <c r="B36" s="4">
        <f t="shared" ca="1" si="0"/>
        <v>44589.888888888891</v>
      </c>
      <c r="C36" s="3" t="str">
        <f t="shared" ca="1" si="35"/>
        <v>-55.731119,-152.723052</v>
      </c>
      <c r="D36" s="3">
        <f t="shared" ca="1" si="44"/>
        <v>-55.731119</v>
      </c>
      <c r="E36" s="3">
        <f t="shared" ca="1" si="45"/>
        <v>-152.723052</v>
      </c>
      <c r="F36" s="3" t="str">
        <f t="shared" ca="1" si="36"/>
        <v>24.134722,-2.459107</v>
      </c>
      <c r="G36" s="3">
        <f t="shared" ca="1" si="46"/>
        <v>24.134722</v>
      </c>
      <c r="H36" s="3">
        <f t="shared" ca="1" si="47"/>
        <v>-2.4591069999999999</v>
      </c>
      <c r="I36" s="3">
        <f t="shared" ca="1" si="48"/>
        <v>6491.304694653325</v>
      </c>
      <c r="J36" s="5">
        <f t="shared" ca="1" si="49"/>
        <v>669.13046946533257</v>
      </c>
      <c r="K36" s="3" t="str">
        <f t="shared" ca="1" si="37"/>
        <v>Apple Pay</v>
      </c>
      <c r="L36" s="3" t="str">
        <f t="shared" ca="1" si="38"/>
        <v>MV1212</v>
      </c>
      <c r="M36" s="3" t="str">
        <f t="shared" ca="1" si="39"/>
        <v>SUV</v>
      </c>
      <c r="N36" s="3" t="str">
        <f t="shared" ca="1" si="40"/>
        <v>Medium</v>
      </c>
      <c r="O36" s="3" t="str">
        <f t="shared" ca="1" si="41"/>
        <v>No</v>
      </c>
      <c r="P36" s="3" t="str">
        <f t="shared" ca="1" si="42"/>
        <v>Thursday</v>
      </c>
      <c r="Q36" s="3">
        <f t="shared" ca="1" si="43"/>
        <v>1</v>
      </c>
    </row>
    <row r="37" spans="1:17">
      <c r="A37" s="3">
        <f t="shared" si="16"/>
        <v>36</v>
      </c>
      <c r="B37" s="4">
        <f t="shared" ca="1" si="0"/>
        <v>45551.470138888893</v>
      </c>
      <c r="C37" s="3" t="str">
        <f t="shared" ca="1" si="35"/>
        <v>-85.855609,31.238408</v>
      </c>
      <c r="D37" s="3">
        <f t="shared" ca="1" si="44"/>
        <v>-85.855609000000001</v>
      </c>
      <c r="E37" s="3">
        <f t="shared" ca="1" si="45"/>
        <v>31.238408</v>
      </c>
      <c r="F37" s="3" t="str">
        <f t="shared" ca="1" si="36"/>
        <v>-6.520644,10.751301</v>
      </c>
      <c r="G37" s="3">
        <f t="shared" ca="1" si="46"/>
        <v>-6.5206439999999999</v>
      </c>
      <c r="H37" s="3">
        <f t="shared" ca="1" si="47"/>
        <v>10.751301</v>
      </c>
      <c r="I37" s="3">
        <f t="shared" ca="1" si="48"/>
        <v>8103.3151017640457</v>
      </c>
      <c r="J37" s="5">
        <f t="shared" ca="1" si="49"/>
        <v>830.33151017640466</v>
      </c>
      <c r="K37" s="3" t="str">
        <f t="shared" ca="1" si="37"/>
        <v>Cash</v>
      </c>
      <c r="L37" s="3" t="str">
        <f t="shared" ca="1" si="38"/>
        <v>MH2353</v>
      </c>
      <c r="M37" s="3" t="str">
        <f t="shared" ca="1" si="39"/>
        <v>Motorcycle</v>
      </c>
      <c r="N37" s="3" t="str">
        <f t="shared" ca="1" si="40"/>
        <v>Medium</v>
      </c>
      <c r="O37" s="3" t="str">
        <f t="shared" ca="1" si="41"/>
        <v>No</v>
      </c>
      <c r="P37" s="3" t="str">
        <f t="shared" ca="1" si="42"/>
        <v>Tuesday</v>
      </c>
      <c r="Q37" s="3">
        <f t="shared" ca="1" si="43"/>
        <v>2</v>
      </c>
    </row>
    <row r="38" spans="1:17">
      <c r="A38" s="3">
        <f t="shared" si="16"/>
        <v>37</v>
      </c>
      <c r="B38" s="4">
        <f t="shared" ca="1" si="0"/>
        <v>45440.356250000004</v>
      </c>
      <c r="C38" s="3" t="str">
        <f t="shared" ca="1" si="35"/>
        <v>-20.572187,-152.825217</v>
      </c>
      <c r="D38" s="3">
        <f t="shared" ca="1" si="44"/>
        <v>-20.572187</v>
      </c>
      <c r="E38" s="3">
        <f t="shared" ca="1" si="45"/>
        <v>-152.82521700000001</v>
      </c>
      <c r="F38" s="3" t="str">
        <f t="shared" ca="1" si="36"/>
        <v>-35.239346,-157.883969</v>
      </c>
      <c r="G38" s="3">
        <f t="shared" ca="1" si="46"/>
        <v>-35.239345999999998</v>
      </c>
      <c r="H38" s="3">
        <f t="shared" ca="1" si="47"/>
        <v>-157.88396900000001</v>
      </c>
      <c r="I38" s="3">
        <f t="shared" ca="1" si="48"/>
        <v>3622.626797101806</v>
      </c>
      <c r="J38" s="5">
        <f t="shared" ca="1" si="49"/>
        <v>382.26267971018058</v>
      </c>
      <c r="K38" s="3" t="str">
        <f t="shared" ca="1" si="37"/>
        <v>Apple Pay</v>
      </c>
      <c r="L38" s="3" t="str">
        <f t="shared" ca="1" si="38"/>
        <v>XI1740</v>
      </c>
      <c r="M38" s="3" t="str">
        <f t="shared" ca="1" si="39"/>
        <v>SUV</v>
      </c>
      <c r="N38" s="3" t="str">
        <f t="shared" ca="1" si="40"/>
        <v>Medium</v>
      </c>
      <c r="O38" s="3" t="str">
        <f t="shared" ca="1" si="41"/>
        <v>Yes</v>
      </c>
      <c r="P38" s="3" t="str">
        <f t="shared" ca="1" si="42"/>
        <v>Tuesday</v>
      </c>
      <c r="Q38" s="3">
        <f t="shared" ca="1" si="43"/>
        <v>2</v>
      </c>
    </row>
    <row r="39" spans="1:17">
      <c r="A39" s="3">
        <f t="shared" si="16"/>
        <v>38</v>
      </c>
      <c r="B39" s="4">
        <f t="shared" ca="1" si="0"/>
        <v>44695.457638888889</v>
      </c>
      <c r="C39" s="3" t="str">
        <f t="shared" ca="1" si="35"/>
        <v>11.756283,10.378192</v>
      </c>
      <c r="D39" s="3">
        <f t="shared" ca="1" si="44"/>
        <v>11.756283</v>
      </c>
      <c r="E39" s="3">
        <f t="shared" ca="1" si="45"/>
        <v>10.378192</v>
      </c>
      <c r="F39" s="3" t="str">
        <f t="shared" ca="1" si="36"/>
        <v>53.240787,-69.632936</v>
      </c>
      <c r="G39" s="3">
        <f t="shared" ca="1" si="46"/>
        <v>53.240786999999997</v>
      </c>
      <c r="H39" s="3">
        <f t="shared" ca="1" si="47"/>
        <v>-69.632936000000001</v>
      </c>
      <c r="I39" s="3">
        <f t="shared" ca="1" si="48"/>
        <v>8228.0268447889594</v>
      </c>
      <c r="J39" s="5">
        <f t="shared" ca="1" si="49"/>
        <v>842.80268447889603</v>
      </c>
      <c r="K39" s="3" t="str">
        <f t="shared" ca="1" si="37"/>
        <v>Apple Pay</v>
      </c>
      <c r="L39" s="3" t="str">
        <f t="shared" ca="1" si="38"/>
        <v>CM6790</v>
      </c>
      <c r="M39" s="3" t="str">
        <f t="shared" ca="1" si="39"/>
        <v>Motorcycle</v>
      </c>
      <c r="N39" s="3" t="str">
        <f t="shared" ca="1" si="40"/>
        <v>Medium</v>
      </c>
      <c r="O39" s="3" t="str">
        <f t="shared" ca="1" si="41"/>
        <v>No</v>
      </c>
      <c r="P39" s="3" t="str">
        <f t="shared" ca="1" si="42"/>
        <v>Tuesday</v>
      </c>
      <c r="Q39" s="3">
        <f t="shared" ca="1" si="43"/>
        <v>2</v>
      </c>
    </row>
    <row r="40" spans="1:17">
      <c r="A40" s="3">
        <f t="shared" si="16"/>
        <v>39</v>
      </c>
      <c r="B40" s="4">
        <f t="shared" ca="1" si="0"/>
        <v>45641.793749999997</v>
      </c>
      <c r="C40" s="3" t="str">
        <f t="shared" ca="1" si="35"/>
        <v>12.666823,-97.218362</v>
      </c>
      <c r="D40" s="3">
        <f t="shared" ca="1" si="44"/>
        <v>12.666823000000001</v>
      </c>
      <c r="E40" s="3">
        <f t="shared" ca="1" si="45"/>
        <v>-97.218361999999999</v>
      </c>
      <c r="F40" s="3" t="str">
        <f t="shared" ca="1" si="36"/>
        <v>-75.617977,14.876664</v>
      </c>
      <c r="G40" s="3">
        <f t="shared" ca="1" si="46"/>
        <v>-75.617976999999996</v>
      </c>
      <c r="H40" s="3">
        <f t="shared" ca="1" si="47"/>
        <v>14.876664</v>
      </c>
      <c r="I40" s="3">
        <f t="shared" ca="1" si="48"/>
        <v>7082.6866092094861</v>
      </c>
      <c r="J40" s="5">
        <f t="shared" ca="1" si="49"/>
        <v>728.26866092094861</v>
      </c>
      <c r="K40" s="3" t="str">
        <f t="shared" ca="1" si="37"/>
        <v>Debit Card</v>
      </c>
      <c r="L40" s="3" t="str">
        <f t="shared" ca="1" si="38"/>
        <v>UG7180</v>
      </c>
      <c r="M40" s="3" t="str">
        <f t="shared" ca="1" si="39"/>
        <v>Sedan</v>
      </c>
      <c r="N40" s="3" t="str">
        <f t="shared" ca="1" si="40"/>
        <v>Medium</v>
      </c>
      <c r="O40" s="3" t="str">
        <f t="shared" ca="1" si="41"/>
        <v>No</v>
      </c>
      <c r="P40" s="3" t="str">
        <f t="shared" ca="1" si="42"/>
        <v>Monday</v>
      </c>
      <c r="Q40" s="3">
        <f t="shared" ca="1" si="43"/>
        <v>3</v>
      </c>
    </row>
    <row r="41" spans="1:17">
      <c r="A41" s="3">
        <f t="shared" si="16"/>
        <v>40</v>
      </c>
      <c r="B41" s="4">
        <f t="shared" ca="1" si="0"/>
        <v>45449.021527777775</v>
      </c>
      <c r="C41" s="3" t="str">
        <f t="shared" ca="1" si="35"/>
        <v>82.699381,22.747158</v>
      </c>
      <c r="D41" s="3">
        <f t="shared" ca="1" si="44"/>
        <v>82.699381000000002</v>
      </c>
      <c r="E41" s="3">
        <f t="shared" ca="1" si="45"/>
        <v>22.747157999999999</v>
      </c>
      <c r="F41" s="3" t="str">
        <f t="shared" ca="1" si="36"/>
        <v>-1.996142,-42.492494</v>
      </c>
      <c r="G41" s="3">
        <f t="shared" ca="1" si="46"/>
        <v>-1.9961420000000001</v>
      </c>
      <c r="H41" s="3">
        <f t="shared" ca="1" si="47"/>
        <v>-42.492494000000001</v>
      </c>
      <c r="I41" s="3">
        <f t="shared" ca="1" si="48"/>
        <v>4269.7919029023633</v>
      </c>
      <c r="J41" s="5">
        <f t="shared" ca="1" si="49"/>
        <v>446.97919029023632</v>
      </c>
      <c r="K41" s="3" t="str">
        <f t="shared" ca="1" si="37"/>
        <v>Debit Card</v>
      </c>
      <c r="L41" s="3" t="str">
        <f t="shared" ca="1" si="38"/>
        <v>VL5977</v>
      </c>
      <c r="M41" s="3" t="str">
        <f t="shared" ca="1" si="39"/>
        <v>Bus</v>
      </c>
      <c r="N41" s="3" t="str">
        <f t="shared" ca="1" si="40"/>
        <v>High</v>
      </c>
      <c r="O41" s="3" t="str">
        <f t="shared" ca="1" si="41"/>
        <v>No</v>
      </c>
      <c r="P41" s="3" t="str">
        <f t="shared" ca="1" si="42"/>
        <v>Sunday</v>
      </c>
      <c r="Q41" s="3">
        <f t="shared" ca="1" si="43"/>
        <v>5</v>
      </c>
    </row>
    <row r="42" spans="1:17">
      <c r="A42" s="3">
        <f t="shared" si="16"/>
        <v>41</v>
      </c>
      <c r="B42" s="4">
        <f t="shared" ca="1" si="0"/>
        <v>44575.788888888892</v>
      </c>
      <c r="C42" s="3" t="str">
        <f t="shared" ca="1" si="35"/>
        <v>-70.579198,46.694152</v>
      </c>
      <c r="D42" s="3">
        <f t="shared" ca="1" si="44"/>
        <v>-70.579198000000005</v>
      </c>
      <c r="E42" s="3">
        <f t="shared" ca="1" si="45"/>
        <v>46.694152000000003</v>
      </c>
      <c r="F42" s="3" t="str">
        <f t="shared" ca="1" si="36"/>
        <v>-73.876583,-140.846463</v>
      </c>
      <c r="G42" s="3">
        <f t="shared" ca="1" si="46"/>
        <v>-73.876582999999997</v>
      </c>
      <c r="H42" s="3">
        <f t="shared" ca="1" si="47"/>
        <v>-140.846463</v>
      </c>
      <c r="I42" s="3">
        <f t="shared" ca="1" si="48"/>
        <v>8751.9568725776116</v>
      </c>
      <c r="J42" s="5">
        <f t="shared" ca="1" si="49"/>
        <v>895.19568725776116</v>
      </c>
      <c r="K42" s="3" t="str">
        <f t="shared" ca="1" si="37"/>
        <v>Cash</v>
      </c>
      <c r="L42" s="3" t="str">
        <f t="shared" ca="1" si="38"/>
        <v>OT4611</v>
      </c>
      <c r="M42" s="3" t="str">
        <f t="shared" ca="1" si="39"/>
        <v>SUV</v>
      </c>
      <c r="N42" s="3" t="str">
        <f t="shared" ca="1" si="40"/>
        <v>Low</v>
      </c>
      <c r="O42" s="3" t="str">
        <f t="shared" ca="1" si="41"/>
        <v>No</v>
      </c>
      <c r="P42" s="3" t="str">
        <f t="shared" ca="1" si="42"/>
        <v>Tuesday</v>
      </c>
      <c r="Q42" s="3">
        <f t="shared" ca="1" si="43"/>
        <v>3</v>
      </c>
    </row>
    <row r="43" spans="1:17">
      <c r="A43" s="3">
        <f t="shared" si="16"/>
        <v>42</v>
      </c>
      <c r="B43" s="4">
        <f t="shared" ca="1" si="0"/>
        <v>45452.129861111112</v>
      </c>
      <c r="C43" s="3" t="str">
        <f t="shared" ref="C43:C51" ca="1" si="50">RANDBETWEEN(-90,90)+RANDBETWEEN(0,999999)/1000000&amp;","&amp;RANDBETWEEN(-180,180)+RANDBETWEEN(0,999999)/1000000</f>
        <v>74.864954,64.224889</v>
      </c>
      <c r="D43" s="3">
        <f t="shared" ca="1" si="44"/>
        <v>74.864953999999997</v>
      </c>
      <c r="E43" s="3">
        <f t="shared" ca="1" si="45"/>
        <v>64.224889000000005</v>
      </c>
      <c r="F43" s="3" t="str">
        <f t="shared" ref="F43:F51" ca="1" si="51">RANDBETWEEN(-90,90)+RANDBETWEEN(0,999999)/1000000&amp;","&amp;RANDBETWEEN(-180,180)+RANDBETWEEN(0,999999)/1000000</f>
        <v>-30.526745,116.727506</v>
      </c>
      <c r="G43" s="3">
        <f t="shared" ca="1" si="46"/>
        <v>-30.526744999999998</v>
      </c>
      <c r="H43" s="3">
        <f t="shared" ca="1" si="47"/>
        <v>116.72750600000001</v>
      </c>
      <c r="I43" s="3">
        <f t="shared" ca="1" si="48"/>
        <v>2715.9089436146792</v>
      </c>
      <c r="J43" s="5">
        <f t="shared" ca="1" si="49"/>
        <v>291.59089436146792</v>
      </c>
      <c r="K43" s="3" t="str">
        <f t="shared" ref="K43:K51" ca="1" si="52">CHOOSE(RANDBETWEEN(1,5),"Cash","PayPal","Visa","Apple Pay","Debit Card")</f>
        <v>Cash</v>
      </c>
      <c r="L43" s="3" t="str">
        <f t="shared" ref="L43:L51" ca="1" si="53">CHAR(RANDBETWEEN(65,90))&amp;CHAR(RANDBETWEEN(65,90))&amp;RANDBETWEEN(0,9)&amp;RANDBETWEEN(0,9)&amp;RANDBETWEEN(0,9)&amp;RANDBETWEEN(0,9)</f>
        <v>QW2792</v>
      </c>
      <c r="M43" s="3" t="str">
        <f t="shared" ref="M43:M51" ca="1" si="54">CHOOSE(RANDBETWEEN(1,4),"SUV","Motorcycle","Bus","Sedan")</f>
        <v>Bus</v>
      </c>
      <c r="N43" s="3" t="str">
        <f t="shared" ref="N43:N51" ca="1" si="55">CHOOSE(RANDBETWEEN(1,3),"Low","Medium","High")</f>
        <v>Medium</v>
      </c>
      <c r="O43" s="3" t="str">
        <f t="shared" ref="O43:O51" ca="1" si="56">CHOOSE(RANDBETWEEN(1,2),"Yes","No")</f>
        <v>Yes</v>
      </c>
      <c r="P43" s="3" t="str">
        <f t="shared" ref="P43:P51" ca="1" si="57">CHOOSE(RANDBETWEEN(1,7),"Saturday","Sunday","Monday","Tuesday","Wednesday","Thursday","Friday")</f>
        <v>Saturday</v>
      </c>
      <c r="Q43" s="3">
        <f t="shared" ref="Q43:Q51" ca="1" si="58">RANDBETWEEN(1,5)</f>
        <v>1</v>
      </c>
    </row>
    <row r="44" spans="1:17">
      <c r="A44" s="3">
        <f t="shared" si="16"/>
        <v>43</v>
      </c>
      <c r="B44" s="4">
        <f t="shared" ca="1" si="0"/>
        <v>45170.785416666666</v>
      </c>
      <c r="C44" s="3" t="str">
        <f t="shared" ca="1" si="50"/>
        <v>-78.39563,150.285133</v>
      </c>
      <c r="D44" s="3">
        <f t="shared" ca="1" si="44"/>
        <v>-78.395629999999997</v>
      </c>
      <c r="E44" s="3">
        <f t="shared" ca="1" si="45"/>
        <v>150.285133</v>
      </c>
      <c r="F44" s="3" t="str">
        <f t="shared" ca="1" si="51"/>
        <v>-21.206876,-9.079598</v>
      </c>
      <c r="G44" s="3">
        <f t="shared" ca="1" si="46"/>
        <v>-21.206876000000001</v>
      </c>
      <c r="H44" s="3">
        <f t="shared" ca="1" si="47"/>
        <v>-9.0795980000000007</v>
      </c>
      <c r="I44" s="3">
        <f t="shared" ca="1" si="48"/>
        <v>9053.3370585452631</v>
      </c>
      <c r="J44" s="5">
        <f t="shared" ca="1" si="49"/>
        <v>925.33370585452633</v>
      </c>
      <c r="K44" s="3" t="str">
        <f t="shared" ca="1" si="52"/>
        <v>Apple Pay</v>
      </c>
      <c r="L44" s="3" t="str">
        <f t="shared" ca="1" si="53"/>
        <v>QR1676</v>
      </c>
      <c r="M44" s="3" t="str">
        <f t="shared" ca="1" si="54"/>
        <v>Motorcycle</v>
      </c>
      <c r="N44" s="3" t="str">
        <f t="shared" ca="1" si="55"/>
        <v>Medium</v>
      </c>
      <c r="O44" s="3" t="str">
        <f t="shared" ca="1" si="56"/>
        <v>Yes</v>
      </c>
      <c r="P44" s="3" t="str">
        <f t="shared" ca="1" si="57"/>
        <v>Wednesday</v>
      </c>
      <c r="Q44" s="3">
        <f t="shared" ca="1" si="58"/>
        <v>5</v>
      </c>
    </row>
    <row r="45" spans="1:17">
      <c r="A45" s="3">
        <f t="shared" si="16"/>
        <v>44</v>
      </c>
      <c r="B45" s="4">
        <f t="shared" ca="1" si="0"/>
        <v>45218.750694444447</v>
      </c>
      <c r="C45" s="3" t="str">
        <f t="shared" ca="1" si="50"/>
        <v>-38.824659,19.310184</v>
      </c>
      <c r="D45" s="3">
        <f t="shared" ca="1" si="44"/>
        <v>-38.824658999999997</v>
      </c>
      <c r="E45" s="3">
        <f t="shared" ca="1" si="45"/>
        <v>19.310184</v>
      </c>
      <c r="F45" s="3" t="str">
        <f t="shared" ca="1" si="51"/>
        <v>90.048893,59.056896</v>
      </c>
      <c r="G45" s="3">
        <f t="shared" ca="1" si="46"/>
        <v>90.048893000000007</v>
      </c>
      <c r="H45" s="3">
        <f t="shared" ca="1" si="47"/>
        <v>59.056896000000002</v>
      </c>
      <c r="I45" s="3">
        <f t="shared" ca="1" si="48"/>
        <v>4489.856234203281</v>
      </c>
      <c r="J45" s="5">
        <f t="shared" ca="1" si="49"/>
        <v>468.98562342032812</v>
      </c>
      <c r="K45" s="3" t="str">
        <f t="shared" ca="1" si="52"/>
        <v>Visa</v>
      </c>
      <c r="L45" s="3" t="str">
        <f t="shared" ca="1" si="53"/>
        <v>TB6529</v>
      </c>
      <c r="M45" s="3" t="str">
        <f t="shared" ca="1" si="54"/>
        <v>Motorcycle</v>
      </c>
      <c r="N45" s="3" t="str">
        <f t="shared" ca="1" si="55"/>
        <v>Low</v>
      </c>
      <c r="O45" s="3" t="str">
        <f t="shared" ca="1" si="56"/>
        <v>No</v>
      </c>
      <c r="P45" s="3" t="str">
        <f t="shared" ca="1" si="57"/>
        <v>Friday</v>
      </c>
      <c r="Q45" s="3">
        <f t="shared" ca="1" si="58"/>
        <v>4</v>
      </c>
    </row>
    <row r="46" spans="1:17">
      <c r="A46" s="3">
        <f t="shared" si="16"/>
        <v>45</v>
      </c>
      <c r="B46" s="4">
        <f t="shared" ca="1" si="0"/>
        <v>44756.830555555556</v>
      </c>
      <c r="C46" s="3" t="str">
        <f t="shared" ca="1" si="50"/>
        <v>-71.001225,63.430412</v>
      </c>
      <c r="D46" s="3">
        <f t="shared" ca="1" si="44"/>
        <v>-71.001225000000005</v>
      </c>
      <c r="E46" s="3">
        <f t="shared" ca="1" si="45"/>
        <v>63.430411999999997</v>
      </c>
      <c r="F46" s="3" t="str">
        <f t="shared" ca="1" si="51"/>
        <v>88.22176,48.146331</v>
      </c>
      <c r="G46" s="3">
        <f t="shared" ca="1" si="46"/>
        <v>88.221760000000003</v>
      </c>
      <c r="H46" s="3">
        <f t="shared" ca="1" si="47"/>
        <v>48.146331000000004</v>
      </c>
      <c r="I46" s="3">
        <f t="shared" ca="1" si="48"/>
        <v>9483.2085426476187</v>
      </c>
      <c r="J46" s="5">
        <f t="shared" ca="1" si="49"/>
        <v>968.32085426476181</v>
      </c>
      <c r="K46" s="3" t="str">
        <f t="shared" ca="1" si="52"/>
        <v>Debit Card</v>
      </c>
      <c r="L46" s="3" t="str">
        <f t="shared" ca="1" si="53"/>
        <v>AP1876</v>
      </c>
      <c r="M46" s="3" t="str">
        <f t="shared" ca="1" si="54"/>
        <v>Motorcycle</v>
      </c>
      <c r="N46" s="3" t="str">
        <f t="shared" ca="1" si="55"/>
        <v>Medium</v>
      </c>
      <c r="O46" s="3" t="str">
        <f t="shared" ca="1" si="56"/>
        <v>No</v>
      </c>
      <c r="P46" s="3" t="str">
        <f t="shared" ca="1" si="57"/>
        <v>Monday</v>
      </c>
      <c r="Q46" s="3">
        <f t="shared" ca="1" si="58"/>
        <v>2</v>
      </c>
    </row>
    <row r="47" spans="1:17">
      <c r="A47" s="3">
        <f t="shared" si="16"/>
        <v>46</v>
      </c>
      <c r="B47" s="4">
        <f t="shared" ca="1" si="0"/>
        <v>44971.454861111109</v>
      </c>
      <c r="C47" s="3" t="str">
        <f t="shared" ca="1" si="50"/>
        <v>-14.160068,15.371822</v>
      </c>
      <c r="D47" s="3">
        <f t="shared" ca="1" si="44"/>
        <v>-14.160068000000001</v>
      </c>
      <c r="E47" s="3">
        <f t="shared" ca="1" si="45"/>
        <v>15.371822</v>
      </c>
      <c r="F47" s="3" t="str">
        <f t="shared" ca="1" si="51"/>
        <v>39.658016,-20.551913</v>
      </c>
      <c r="G47" s="3">
        <f t="shared" ca="1" si="46"/>
        <v>39.658016000000003</v>
      </c>
      <c r="H47" s="3">
        <f t="shared" ca="1" si="47"/>
        <v>-20.551912999999999</v>
      </c>
      <c r="I47" s="3">
        <f t="shared" ca="1" si="48"/>
        <v>4591.1109059847868</v>
      </c>
      <c r="J47" s="5">
        <f t="shared" ca="1" si="49"/>
        <v>479.11109059847865</v>
      </c>
      <c r="K47" s="3" t="str">
        <f t="shared" ca="1" si="52"/>
        <v>PayPal</v>
      </c>
      <c r="L47" s="3" t="str">
        <f t="shared" ca="1" si="53"/>
        <v>TU7676</v>
      </c>
      <c r="M47" s="3" t="str">
        <f t="shared" ca="1" si="54"/>
        <v>SUV</v>
      </c>
      <c r="N47" s="3" t="str">
        <f t="shared" ca="1" si="55"/>
        <v>Low</v>
      </c>
      <c r="O47" s="3" t="str">
        <f t="shared" ca="1" si="56"/>
        <v>Yes</v>
      </c>
      <c r="P47" s="3" t="str">
        <f t="shared" ca="1" si="57"/>
        <v>Monday</v>
      </c>
      <c r="Q47" s="3">
        <f t="shared" ca="1" si="58"/>
        <v>2</v>
      </c>
    </row>
    <row r="48" spans="1:17">
      <c r="A48" s="3">
        <f t="shared" si="16"/>
        <v>47</v>
      </c>
      <c r="B48" s="4">
        <f t="shared" ca="1" si="0"/>
        <v>45126.625</v>
      </c>
      <c r="C48" s="3" t="str">
        <f t="shared" ca="1" si="50"/>
        <v>72.757601,87.768259</v>
      </c>
      <c r="D48" s="3">
        <f t="shared" ca="1" si="44"/>
        <v>72.757600999999994</v>
      </c>
      <c r="E48" s="3">
        <f t="shared" ca="1" si="45"/>
        <v>87.768259</v>
      </c>
      <c r="F48" s="3" t="str">
        <f t="shared" ca="1" si="51"/>
        <v>33.15098,146.647343</v>
      </c>
      <c r="G48" s="3">
        <f t="shared" ca="1" si="46"/>
        <v>33.150979999999997</v>
      </c>
      <c r="H48" s="3">
        <f t="shared" ca="1" si="47"/>
        <v>146.64734300000001</v>
      </c>
      <c r="I48" s="3">
        <f t="shared" ca="1" si="48"/>
        <v>1260.604524238046</v>
      </c>
      <c r="J48" s="5">
        <f t="shared" ca="1" si="49"/>
        <v>146.06045242380461</v>
      </c>
      <c r="K48" s="3" t="str">
        <f t="shared" ca="1" si="52"/>
        <v>Apple Pay</v>
      </c>
      <c r="L48" s="3" t="str">
        <f t="shared" ca="1" si="53"/>
        <v>SE5864</v>
      </c>
      <c r="M48" s="3" t="str">
        <f t="shared" ca="1" si="54"/>
        <v>Motorcycle</v>
      </c>
      <c r="N48" s="3" t="str">
        <f t="shared" ca="1" si="55"/>
        <v>Medium</v>
      </c>
      <c r="O48" s="3" t="str">
        <f t="shared" ca="1" si="56"/>
        <v>No</v>
      </c>
      <c r="P48" s="3" t="str">
        <f t="shared" ca="1" si="57"/>
        <v>Monday</v>
      </c>
      <c r="Q48" s="3">
        <f t="shared" ca="1" si="58"/>
        <v>5</v>
      </c>
    </row>
    <row r="49" spans="1:17">
      <c r="A49" s="3">
        <f t="shared" si="16"/>
        <v>48</v>
      </c>
      <c r="B49" s="4">
        <f t="shared" ca="1" si="0"/>
        <v>45029.616666666669</v>
      </c>
      <c r="C49" s="3" t="str">
        <f t="shared" ca="1" si="50"/>
        <v>4.029788,102.203689</v>
      </c>
      <c r="D49" s="3">
        <f t="shared" ca="1" si="44"/>
        <v>4.0297879999999999</v>
      </c>
      <c r="E49" s="3">
        <f t="shared" ca="1" si="45"/>
        <v>102.203689</v>
      </c>
      <c r="F49" s="3" t="str">
        <f t="shared" ca="1" si="51"/>
        <v>-60.626557,-120.340409</v>
      </c>
      <c r="G49" s="3">
        <f t="shared" ca="1" si="46"/>
        <v>-60.626556999999998</v>
      </c>
      <c r="H49" s="3">
        <f t="shared" ca="1" si="47"/>
        <v>-120.34040899999999</v>
      </c>
      <c r="I49" s="3">
        <f t="shared" ca="1" si="48"/>
        <v>6367.8988507386175</v>
      </c>
      <c r="J49" s="5">
        <f t="shared" ca="1" si="49"/>
        <v>656.78988507386168</v>
      </c>
      <c r="K49" s="3" t="str">
        <f t="shared" ca="1" si="52"/>
        <v>Visa</v>
      </c>
      <c r="L49" s="3" t="str">
        <f t="shared" ca="1" si="53"/>
        <v>IS4830</v>
      </c>
      <c r="M49" s="3" t="str">
        <f t="shared" ca="1" si="54"/>
        <v>Sedan</v>
      </c>
      <c r="N49" s="3" t="str">
        <f t="shared" ca="1" si="55"/>
        <v>High</v>
      </c>
      <c r="O49" s="3" t="str">
        <f t="shared" ca="1" si="56"/>
        <v>Yes</v>
      </c>
      <c r="P49" s="3" t="str">
        <f t="shared" ca="1" si="57"/>
        <v>Friday</v>
      </c>
      <c r="Q49" s="3">
        <f t="shared" ca="1" si="58"/>
        <v>1</v>
      </c>
    </row>
    <row r="50" spans="1:17">
      <c r="A50" s="3">
        <f t="shared" si="16"/>
        <v>49</v>
      </c>
      <c r="B50" s="4">
        <f t="shared" ca="1" si="0"/>
        <v>45377.031944444447</v>
      </c>
      <c r="C50" s="3" t="str">
        <f t="shared" ca="1" si="50"/>
        <v>-87.332457,-100.807427</v>
      </c>
      <c r="D50" s="3">
        <f t="shared" ca="1" si="44"/>
        <v>-87.332457000000005</v>
      </c>
      <c r="E50" s="3">
        <f t="shared" ca="1" si="45"/>
        <v>-100.807427</v>
      </c>
      <c r="F50" s="3" t="str">
        <f t="shared" ca="1" si="51"/>
        <v>-46.454462,-31.372247</v>
      </c>
      <c r="G50" s="3">
        <f t="shared" ca="1" si="46"/>
        <v>-46.454461999999999</v>
      </c>
      <c r="H50" s="3">
        <f t="shared" ca="1" si="47"/>
        <v>-31.372247000000002</v>
      </c>
      <c r="I50" s="3">
        <f t="shared" ca="1" si="48"/>
        <v>925.96677541362692</v>
      </c>
      <c r="J50" s="5">
        <f t="shared" ca="1" si="49"/>
        <v>112.59667754136268</v>
      </c>
      <c r="K50" s="3" t="str">
        <f t="shared" ca="1" si="52"/>
        <v>Visa</v>
      </c>
      <c r="L50" s="3" t="str">
        <f t="shared" ca="1" si="53"/>
        <v>NW1067</v>
      </c>
      <c r="M50" s="3" t="str">
        <f t="shared" ca="1" si="54"/>
        <v>SUV</v>
      </c>
      <c r="N50" s="3" t="str">
        <f t="shared" ca="1" si="55"/>
        <v>Low</v>
      </c>
      <c r="O50" s="3" t="str">
        <f t="shared" ca="1" si="56"/>
        <v>No</v>
      </c>
      <c r="P50" s="3" t="str">
        <f t="shared" ca="1" si="57"/>
        <v>Monday</v>
      </c>
      <c r="Q50" s="3">
        <f t="shared" ca="1" si="58"/>
        <v>3</v>
      </c>
    </row>
    <row r="51" spans="1:17">
      <c r="A51" s="3">
        <f t="shared" si="16"/>
        <v>50</v>
      </c>
      <c r="B51" s="4">
        <f t="shared" ca="1" si="0"/>
        <v>45430.863888888889</v>
      </c>
      <c r="C51" s="3" t="str">
        <f t="shared" ca="1" si="50"/>
        <v>20.737219,-52.75391</v>
      </c>
      <c r="D51" s="3">
        <f t="shared" ca="1" si="44"/>
        <v>20.737219</v>
      </c>
      <c r="E51" s="3">
        <f t="shared" ca="1" si="45"/>
        <v>-52.753909999999998</v>
      </c>
      <c r="F51" s="3" t="str">
        <f t="shared" ca="1" si="51"/>
        <v>3.12488,124.941576</v>
      </c>
      <c r="G51" s="3">
        <f t="shared" ca="1" si="46"/>
        <v>3.1248800000000001</v>
      </c>
      <c r="H51" s="3">
        <f t="shared" ca="1" si="47"/>
        <v>124.941576</v>
      </c>
      <c r="I51" s="3">
        <f t="shared" ca="1" si="48"/>
        <v>8669.6770905760241</v>
      </c>
      <c r="J51" s="5">
        <f t="shared" ca="1" si="49"/>
        <v>886.96770905760241</v>
      </c>
      <c r="K51" s="3" t="str">
        <f t="shared" ca="1" si="52"/>
        <v>Debit Card</v>
      </c>
      <c r="L51" s="3" t="str">
        <f t="shared" ca="1" si="53"/>
        <v>MI0722</v>
      </c>
      <c r="M51" s="3" t="str">
        <f t="shared" ca="1" si="54"/>
        <v>Motorcycle</v>
      </c>
      <c r="N51" s="3" t="str">
        <f t="shared" ca="1" si="55"/>
        <v>Medium</v>
      </c>
      <c r="O51" s="3" t="str">
        <f t="shared" ca="1" si="56"/>
        <v>Yes</v>
      </c>
      <c r="P51" s="3" t="str">
        <f t="shared" ca="1" si="57"/>
        <v>Sunday</v>
      </c>
      <c r="Q51" s="3">
        <f t="shared" ca="1" si="58"/>
        <v>1</v>
      </c>
    </row>
    <row r="52" spans="1:17">
      <c r="J52" s="2"/>
    </row>
    <row r="53" spans="1:17">
      <c r="J53" s="2"/>
    </row>
    <row r="54" spans="1:17">
      <c r="J54" s="2"/>
    </row>
    <row r="55" spans="1:17">
      <c r="J55" s="2"/>
    </row>
    <row r="56" spans="1:17">
      <c r="J56" s="2"/>
    </row>
    <row r="57" spans="1:17">
      <c r="J57" s="2"/>
    </row>
    <row r="58" spans="1:17">
      <c r="J58" s="2"/>
    </row>
    <row r="59" spans="1:17">
      <c r="J59" s="2"/>
    </row>
    <row r="60" spans="1:17">
      <c r="J60" s="2"/>
    </row>
    <row r="61" spans="1:17">
      <c r="J61" s="2"/>
    </row>
    <row r="62" spans="1:17">
      <c r="J62" s="2"/>
    </row>
    <row r="63" spans="1:17">
      <c r="J63" s="2"/>
    </row>
    <row r="64" spans="1:17">
      <c r="J64" s="2"/>
    </row>
    <row r="65" spans="10:10">
      <c r="J65" s="2"/>
    </row>
    <row r="66" spans="10:10">
      <c r="J66" s="2"/>
    </row>
    <row r="67" spans="10:10">
      <c r="J67" s="2"/>
    </row>
    <row r="68" spans="10:10">
      <c r="J68" s="2"/>
    </row>
    <row r="69" spans="10:10">
      <c r="J69" s="2"/>
    </row>
    <row r="70" spans="10:10">
      <c r="J70" s="2"/>
    </row>
    <row r="71" spans="10:10">
      <c r="J71" s="2"/>
    </row>
    <row r="72" spans="10:10">
      <c r="J72" s="2"/>
    </row>
    <row r="73" spans="10:10">
      <c r="J73" s="2"/>
    </row>
    <row r="74" spans="10:10">
      <c r="J74" s="2"/>
    </row>
    <row r="75" spans="10:10">
      <c r="J75" s="2"/>
    </row>
    <row r="76" spans="10:10">
      <c r="J76" s="2"/>
    </row>
    <row r="77" spans="10:10">
      <c r="J77" s="2"/>
    </row>
    <row r="78" spans="10:10">
      <c r="J78" s="2"/>
    </row>
    <row r="79" spans="10:10">
      <c r="J79" s="2"/>
    </row>
    <row r="80" spans="10:10">
      <c r="J80" s="2"/>
    </row>
    <row r="81" spans="10:10">
      <c r="J81" s="2"/>
    </row>
    <row r="82" spans="10:10">
      <c r="J82" s="2"/>
    </row>
    <row r="83" spans="10:10">
      <c r="J83" s="2"/>
    </row>
    <row r="84" spans="10:10">
      <c r="J84" s="2"/>
    </row>
    <row r="85" spans="10:10">
      <c r="J85" s="2"/>
    </row>
    <row r="86" spans="10:10">
      <c r="J86" s="2"/>
    </row>
    <row r="87" spans="10:10">
      <c r="J87" s="2"/>
    </row>
    <row r="88" spans="10:10">
      <c r="J88" s="2"/>
    </row>
    <row r="89" spans="10:10">
      <c r="J89" s="2"/>
    </row>
    <row r="90" spans="10:10">
      <c r="J90" s="2"/>
    </row>
    <row r="91" spans="10:10">
      <c r="J91" s="2"/>
    </row>
    <row r="92" spans="10:10">
      <c r="J92" s="2"/>
    </row>
    <row r="93" spans="10:10">
      <c r="J93" s="2"/>
    </row>
    <row r="94" spans="10:10">
      <c r="J94" s="2"/>
    </row>
    <row r="95" spans="10:10">
      <c r="J95" s="2"/>
    </row>
    <row r="96" spans="10:10">
      <c r="J96" s="2"/>
    </row>
    <row r="97" spans="10:10">
      <c r="J97" s="2"/>
    </row>
    <row r="98" spans="10:10">
      <c r="J98" s="2"/>
    </row>
    <row r="99" spans="10:10">
      <c r="J99" s="2"/>
    </row>
    <row r="100" spans="10:10">
      <c r="J100" s="2"/>
    </row>
    <row r="101" spans="10:10">
      <c r="J101" s="2"/>
    </row>
    <row r="102" spans="10:10">
      <c r="J102" s="2"/>
    </row>
    <row r="103" spans="10:10">
      <c r="J103" s="2"/>
    </row>
    <row r="104" spans="10:10">
      <c r="J104" s="2"/>
    </row>
    <row r="105" spans="10:10">
      <c r="J105" s="2"/>
    </row>
    <row r="106" spans="10:10">
      <c r="J106" s="2"/>
    </row>
    <row r="107" spans="10:10">
      <c r="J107" s="2"/>
    </row>
    <row r="108" spans="10:10">
      <c r="J108" s="2"/>
    </row>
    <row r="109" spans="10:10">
      <c r="J109" s="2"/>
    </row>
    <row r="110" spans="10:10">
      <c r="J110" s="2"/>
    </row>
    <row r="111" spans="10:10">
      <c r="J111" s="2"/>
    </row>
    <row r="112" spans="10:10">
      <c r="J112" s="2"/>
    </row>
    <row r="113" spans="10:10">
      <c r="J113" s="2"/>
    </row>
    <row r="114" spans="10:10">
      <c r="J114" s="2"/>
    </row>
    <row r="115" spans="10:10">
      <c r="J115" s="2"/>
    </row>
    <row r="116" spans="10:10">
      <c r="J116" s="2"/>
    </row>
    <row r="117" spans="10:10">
      <c r="J117" s="2"/>
    </row>
    <row r="118" spans="10:10">
      <c r="J118" s="2"/>
    </row>
    <row r="119" spans="10:10">
      <c r="J119" s="2"/>
    </row>
    <row r="120" spans="10:10">
      <c r="J120" s="2"/>
    </row>
    <row r="121" spans="10:10">
      <c r="J121" s="2"/>
    </row>
    <row r="122" spans="10:10">
      <c r="J122" s="2"/>
    </row>
    <row r="123" spans="10:10">
      <c r="J123" s="2"/>
    </row>
    <row r="124" spans="10:10">
      <c r="J124" s="2"/>
    </row>
    <row r="125" spans="10:10">
      <c r="J125" s="2"/>
    </row>
    <row r="126" spans="10:10">
      <c r="J126" s="2"/>
    </row>
    <row r="127" spans="10:10">
      <c r="J127" s="2"/>
    </row>
    <row r="128" spans="10:10">
      <c r="J128" s="2"/>
    </row>
    <row r="129" spans="10:10">
      <c r="J129" s="2"/>
    </row>
    <row r="130" spans="10:10">
      <c r="J130" s="2"/>
    </row>
    <row r="131" spans="10:10">
      <c r="J131" s="2"/>
    </row>
    <row r="132" spans="10:10">
      <c r="J132" s="2"/>
    </row>
    <row r="133" spans="10:10">
      <c r="J133" s="2"/>
    </row>
    <row r="134" spans="10:10">
      <c r="J134" s="2"/>
    </row>
    <row r="135" spans="10:10">
      <c r="J135" s="2"/>
    </row>
    <row r="136" spans="10:10">
      <c r="J136" s="2"/>
    </row>
    <row r="137" spans="10:10">
      <c r="J137" s="2"/>
    </row>
    <row r="138" spans="10:10">
      <c r="J138" s="2"/>
    </row>
    <row r="139" spans="10:10">
      <c r="J139" s="2"/>
    </row>
    <row r="140" spans="10:10">
      <c r="J140" s="2"/>
    </row>
    <row r="141" spans="10:10">
      <c r="J141" s="2"/>
    </row>
    <row r="142" spans="10:10">
      <c r="J142" s="2"/>
    </row>
    <row r="143" spans="10:10">
      <c r="J143" s="2"/>
    </row>
    <row r="144" spans="10:10">
      <c r="J144" s="2"/>
    </row>
    <row r="145" spans="10:10">
      <c r="J145" s="2"/>
    </row>
    <row r="146" spans="10:10">
      <c r="J146" s="2"/>
    </row>
    <row r="147" spans="10:10">
      <c r="J147" s="2"/>
    </row>
    <row r="148" spans="10:10">
      <c r="J148" s="2"/>
    </row>
    <row r="149" spans="10:10">
      <c r="J149" s="2"/>
    </row>
    <row r="150" spans="10:10">
      <c r="J150" s="2"/>
    </row>
    <row r="151" spans="10:10">
      <c r="J151" s="2"/>
    </row>
    <row r="152" spans="10:10">
      <c r="J152" s="2"/>
    </row>
    <row r="153" spans="10:10">
      <c r="J153" s="2"/>
    </row>
    <row r="154" spans="10:10">
      <c r="J154" s="2"/>
    </row>
    <row r="155" spans="10:10">
      <c r="J155" s="2"/>
    </row>
    <row r="156" spans="10:10">
      <c r="J156" s="2"/>
    </row>
    <row r="157" spans="10:10">
      <c r="J157" s="2"/>
    </row>
    <row r="158" spans="10:10">
      <c r="J158" s="2"/>
    </row>
    <row r="159" spans="10:10">
      <c r="J159" s="2"/>
    </row>
    <row r="160" spans="10:10">
      <c r="J160" s="2"/>
    </row>
    <row r="161" spans="10:10">
      <c r="J161" s="2"/>
    </row>
    <row r="162" spans="10:10">
      <c r="J162" s="2"/>
    </row>
    <row r="163" spans="10:10">
      <c r="J163" s="2"/>
    </row>
    <row r="164" spans="10:10">
      <c r="J164" s="2"/>
    </row>
    <row r="165" spans="10:10">
      <c r="J165" s="2"/>
    </row>
    <row r="166" spans="10:10">
      <c r="J166" s="2"/>
    </row>
    <row r="167" spans="10:10">
      <c r="J167" s="2"/>
    </row>
    <row r="168" spans="10:10">
      <c r="J168" s="2"/>
    </row>
    <row r="169" spans="10:10">
      <c r="J169" s="2"/>
    </row>
    <row r="170" spans="10:10">
      <c r="J170" s="2"/>
    </row>
    <row r="171" spans="10:10">
      <c r="J171" s="2"/>
    </row>
    <row r="172" spans="10:10">
      <c r="J172" s="2"/>
    </row>
    <row r="173" spans="10:10">
      <c r="J173" s="2"/>
    </row>
    <row r="174" spans="10:10">
      <c r="J174" s="2"/>
    </row>
    <row r="175" spans="10:10">
      <c r="J175" s="2"/>
    </row>
    <row r="176" spans="10:10">
      <c r="J176" s="2"/>
    </row>
    <row r="177" spans="10:10">
      <c r="J177" s="2"/>
    </row>
    <row r="178" spans="10:10">
      <c r="J178" s="2"/>
    </row>
    <row r="179" spans="10:10">
      <c r="J179" s="2"/>
    </row>
    <row r="180" spans="10:10">
      <c r="J180" s="2"/>
    </row>
    <row r="181" spans="10:10">
      <c r="J181" s="2"/>
    </row>
    <row r="182" spans="10:10">
      <c r="J182" s="2"/>
    </row>
    <row r="183" spans="10:10">
      <c r="J183" s="2"/>
    </row>
    <row r="184" spans="10:10">
      <c r="J184" s="2"/>
    </row>
    <row r="185" spans="10:10">
      <c r="J185" s="2"/>
    </row>
    <row r="186" spans="10:10">
      <c r="J186" s="2"/>
    </row>
    <row r="187" spans="10:10">
      <c r="J187" s="2"/>
    </row>
    <row r="188" spans="10:10">
      <c r="J188" s="2"/>
    </row>
    <row r="189" spans="10:10">
      <c r="J189" s="2"/>
    </row>
    <row r="190" spans="10:10">
      <c r="J190" s="2"/>
    </row>
    <row r="191" spans="10:10">
      <c r="J191" s="2"/>
    </row>
    <row r="192" spans="10:10">
      <c r="J192" s="2"/>
    </row>
    <row r="193" spans="10:10">
      <c r="J193" s="2"/>
    </row>
    <row r="194" spans="10:10">
      <c r="J194" s="2"/>
    </row>
    <row r="195" spans="10:10">
      <c r="J195" s="2"/>
    </row>
    <row r="196" spans="10:10">
      <c r="J196" s="2"/>
    </row>
    <row r="197" spans="10:10">
      <c r="J197" s="2"/>
    </row>
    <row r="198" spans="10:10">
      <c r="J198" s="2"/>
    </row>
    <row r="199" spans="10:10">
      <c r="J199" s="2"/>
    </row>
    <row r="200" spans="10:10">
      <c r="J200" s="2"/>
    </row>
    <row r="201" spans="10:10">
      <c r="J201" s="2"/>
    </row>
    <row r="202" spans="10:10">
      <c r="J202" s="2"/>
    </row>
    <row r="203" spans="10:10">
      <c r="J203" s="2"/>
    </row>
    <row r="204" spans="10:10">
      <c r="J204" s="2"/>
    </row>
    <row r="205" spans="10:10">
      <c r="J205" s="2"/>
    </row>
    <row r="206" spans="10:10">
      <c r="J206" s="2"/>
    </row>
    <row r="207" spans="10:10">
      <c r="J207" s="2"/>
    </row>
    <row r="208" spans="10:10">
      <c r="J208" s="2"/>
    </row>
    <row r="209" spans="10:10">
      <c r="J209" s="2"/>
    </row>
    <row r="210" spans="10:10">
      <c r="J210" s="2"/>
    </row>
    <row r="211" spans="10:10">
      <c r="J211" s="2"/>
    </row>
    <row r="212" spans="10:10">
      <c r="J212" s="2"/>
    </row>
    <row r="213" spans="10:10">
      <c r="J213" s="2"/>
    </row>
    <row r="214" spans="10:10">
      <c r="J214" s="2"/>
    </row>
    <row r="215" spans="10:10">
      <c r="J215" s="2"/>
    </row>
    <row r="216" spans="10:10">
      <c r="J216" s="2"/>
    </row>
    <row r="217" spans="10:10">
      <c r="J217" s="2"/>
    </row>
    <row r="218" spans="10:10">
      <c r="J218" s="2"/>
    </row>
    <row r="219" spans="10:10">
      <c r="J219" s="2"/>
    </row>
    <row r="220" spans="10:10">
      <c r="J220" s="2"/>
    </row>
    <row r="221" spans="10:10">
      <c r="J221" s="2"/>
    </row>
    <row r="222" spans="10:10">
      <c r="J222" s="2"/>
    </row>
    <row r="223" spans="10:10">
      <c r="J223" s="2"/>
    </row>
    <row r="224" spans="10:10">
      <c r="J224" s="2"/>
    </row>
    <row r="225" spans="10:10">
      <c r="J225" s="2"/>
    </row>
    <row r="226" spans="10:10">
      <c r="J226" s="2"/>
    </row>
    <row r="227" spans="10:10">
      <c r="J227" s="2"/>
    </row>
    <row r="228" spans="10:10">
      <c r="J228" s="2"/>
    </row>
    <row r="229" spans="10:10">
      <c r="J229" s="2"/>
    </row>
    <row r="230" spans="10:10">
      <c r="J230" s="2"/>
    </row>
    <row r="231" spans="10:10">
      <c r="J231" s="2"/>
    </row>
    <row r="232" spans="10:10">
      <c r="J232" s="2"/>
    </row>
    <row r="233" spans="10:10">
      <c r="J233" s="2"/>
    </row>
    <row r="234" spans="10:10">
      <c r="J234" s="2"/>
    </row>
    <row r="235" spans="10:10">
      <c r="J235" s="2"/>
    </row>
    <row r="236" spans="10:10">
      <c r="J236" s="2"/>
    </row>
    <row r="237" spans="10:10">
      <c r="J237" s="2"/>
    </row>
    <row r="238" spans="10:10">
      <c r="J238" s="2"/>
    </row>
    <row r="239" spans="10:10">
      <c r="J239" s="2"/>
    </row>
    <row r="240" spans="10:10">
      <c r="J240" s="2"/>
    </row>
    <row r="241" spans="10:10">
      <c r="J241" s="2"/>
    </row>
    <row r="242" spans="10:10">
      <c r="J242" s="2"/>
    </row>
    <row r="243" spans="10:10">
      <c r="J243" s="2"/>
    </row>
    <row r="244" spans="10:10">
      <c r="J244" s="2"/>
    </row>
    <row r="245" spans="10:10">
      <c r="J245" s="2"/>
    </row>
    <row r="246" spans="10:10">
      <c r="J246" s="2"/>
    </row>
    <row r="247" spans="10:10">
      <c r="J247" s="2"/>
    </row>
    <row r="248" spans="10:10">
      <c r="J248" s="2"/>
    </row>
    <row r="249" spans="10:10">
      <c r="J249" s="2"/>
    </row>
    <row r="250" spans="10:10">
      <c r="J250" s="2"/>
    </row>
    <row r="251" spans="10:10">
      <c r="J251" s="2"/>
    </row>
    <row r="252" spans="10:10">
      <c r="J252" s="2"/>
    </row>
    <row r="253" spans="10:10">
      <c r="J253" s="2"/>
    </row>
    <row r="254" spans="10:10">
      <c r="J254" s="2"/>
    </row>
    <row r="255" spans="10:10">
      <c r="J255" s="2"/>
    </row>
    <row r="256" spans="10:10">
      <c r="J256" s="2"/>
    </row>
    <row r="257" spans="10:10">
      <c r="J257" s="2"/>
    </row>
    <row r="258" spans="10:10">
      <c r="J258" s="2"/>
    </row>
    <row r="259" spans="10:10">
      <c r="J259" s="2"/>
    </row>
    <row r="260" spans="10:10">
      <c r="J260" s="2"/>
    </row>
    <row r="261" spans="10:10">
      <c r="J261" s="2"/>
    </row>
    <row r="262" spans="10:10">
      <c r="J262" s="2"/>
    </row>
    <row r="263" spans="10:10">
      <c r="J263" s="2"/>
    </row>
    <row r="264" spans="10:10">
      <c r="J264" s="2"/>
    </row>
    <row r="265" spans="10:10">
      <c r="J265" s="2"/>
    </row>
    <row r="266" spans="10:10">
      <c r="J266" s="2"/>
    </row>
    <row r="267" spans="10:10">
      <c r="J267" s="2"/>
    </row>
    <row r="268" spans="10:10">
      <c r="J268" s="2"/>
    </row>
    <row r="269" spans="10:10">
      <c r="J269" s="2"/>
    </row>
    <row r="270" spans="10:10">
      <c r="J270" s="2"/>
    </row>
    <row r="271" spans="10:10">
      <c r="J271" s="2"/>
    </row>
    <row r="272" spans="10:10">
      <c r="J272" s="2"/>
    </row>
    <row r="273" spans="10:10">
      <c r="J273" s="2"/>
    </row>
    <row r="274" spans="10:10">
      <c r="J274" s="2"/>
    </row>
    <row r="275" spans="10:10">
      <c r="J275" s="2"/>
    </row>
    <row r="276" spans="10:10">
      <c r="J276" s="2"/>
    </row>
    <row r="277" spans="10:10">
      <c r="J277" s="2"/>
    </row>
    <row r="278" spans="10:10">
      <c r="J278" s="2"/>
    </row>
    <row r="279" spans="10:10">
      <c r="J279" s="2"/>
    </row>
    <row r="280" spans="10:10">
      <c r="J280" s="2"/>
    </row>
    <row r="281" spans="10:10">
      <c r="J281" s="2"/>
    </row>
    <row r="282" spans="10:10">
      <c r="J282" s="2"/>
    </row>
    <row r="283" spans="10:10">
      <c r="J283" s="2"/>
    </row>
    <row r="284" spans="10:10">
      <c r="J284" s="2"/>
    </row>
    <row r="285" spans="10:10">
      <c r="J285" s="2"/>
    </row>
    <row r="286" spans="10:10">
      <c r="J286" s="2"/>
    </row>
    <row r="287" spans="10:10">
      <c r="J287" s="2"/>
    </row>
    <row r="288" spans="10:10">
      <c r="J288" s="2"/>
    </row>
    <row r="289" spans="10:10">
      <c r="J289" s="2"/>
    </row>
    <row r="290" spans="10:10">
      <c r="J290" s="2"/>
    </row>
    <row r="291" spans="10:10">
      <c r="J291" s="2"/>
    </row>
    <row r="292" spans="10:10">
      <c r="J292" s="2"/>
    </row>
    <row r="293" spans="10:10">
      <c r="J293" s="2"/>
    </row>
    <row r="294" spans="10:10">
      <c r="J294" s="2"/>
    </row>
    <row r="295" spans="10:10">
      <c r="J295" s="2"/>
    </row>
    <row r="296" spans="10:10">
      <c r="J296" s="2"/>
    </row>
    <row r="297" spans="10:10">
      <c r="J297" s="2"/>
    </row>
    <row r="298" spans="10:10">
      <c r="J298" s="2"/>
    </row>
    <row r="299" spans="10:10">
      <c r="J299" s="2"/>
    </row>
    <row r="300" spans="10:10">
      <c r="J300" s="2"/>
    </row>
    <row r="301" spans="10:10">
      <c r="J301" s="2"/>
    </row>
    <row r="302" spans="10:10">
      <c r="J302" s="2"/>
    </row>
    <row r="303" spans="10:10">
      <c r="J303" s="2"/>
    </row>
    <row r="304" spans="10:10">
      <c r="J304" s="2"/>
    </row>
    <row r="305" spans="10:10">
      <c r="J305" s="2"/>
    </row>
    <row r="306" spans="10:10">
      <c r="J306" s="2"/>
    </row>
    <row r="307" spans="10:10">
      <c r="J307" s="2"/>
    </row>
    <row r="308" spans="10:10">
      <c r="J308" s="2"/>
    </row>
    <row r="309" spans="10:10">
      <c r="J309" s="2"/>
    </row>
    <row r="310" spans="10:10">
      <c r="J310" s="2"/>
    </row>
    <row r="311" spans="10:10">
      <c r="J311" s="2"/>
    </row>
    <row r="312" spans="10:10">
      <c r="J312" s="2"/>
    </row>
    <row r="313" spans="10:10">
      <c r="J313" s="2"/>
    </row>
    <row r="314" spans="10:10">
      <c r="J314" s="2"/>
    </row>
    <row r="315" spans="10:10">
      <c r="J315" s="2"/>
    </row>
    <row r="316" spans="10:10">
      <c r="J316" s="2"/>
    </row>
    <row r="317" spans="10:10">
      <c r="J317" s="2"/>
    </row>
    <row r="318" spans="10:10">
      <c r="J318" s="2"/>
    </row>
    <row r="319" spans="10:10">
      <c r="J319" s="2"/>
    </row>
    <row r="320" spans="10:10">
      <c r="J320" s="2"/>
    </row>
    <row r="321" spans="10:10">
      <c r="J321" s="2"/>
    </row>
    <row r="322" spans="10:10">
      <c r="J322" s="2"/>
    </row>
    <row r="323" spans="10:10">
      <c r="J323" s="2"/>
    </row>
    <row r="324" spans="10:10">
      <c r="J324" s="2"/>
    </row>
    <row r="325" spans="10:10">
      <c r="J325" s="2"/>
    </row>
    <row r="326" spans="10:10">
      <c r="J326" s="2"/>
    </row>
    <row r="327" spans="10:10">
      <c r="J327" s="2"/>
    </row>
    <row r="328" spans="10:10">
      <c r="J328" s="2"/>
    </row>
    <row r="329" spans="10:10">
      <c r="J329" s="2"/>
    </row>
    <row r="330" spans="10:10">
      <c r="J330" s="2"/>
    </row>
    <row r="331" spans="10:10">
      <c r="J331" s="2"/>
    </row>
    <row r="332" spans="10:10">
      <c r="J332" s="2"/>
    </row>
    <row r="333" spans="10:10">
      <c r="J333" s="2"/>
    </row>
    <row r="334" spans="10:10">
      <c r="J334" s="2"/>
    </row>
    <row r="335" spans="10:10">
      <c r="J335" s="2"/>
    </row>
    <row r="336" spans="10:10">
      <c r="J336" s="2"/>
    </row>
    <row r="337" spans="10:10">
      <c r="J337" s="2"/>
    </row>
    <row r="338" spans="10:10">
      <c r="J338" s="2"/>
    </row>
    <row r="339" spans="10:10">
      <c r="J339" s="2"/>
    </row>
    <row r="340" spans="10:10">
      <c r="J340" s="2"/>
    </row>
    <row r="341" spans="10:10">
      <c r="J341" s="2"/>
    </row>
    <row r="342" spans="10:10">
      <c r="J342" s="2"/>
    </row>
    <row r="343" spans="10:10">
      <c r="J343" s="2"/>
    </row>
    <row r="344" spans="10:10">
      <c r="J344" s="2"/>
    </row>
    <row r="345" spans="10:10">
      <c r="J345" s="2"/>
    </row>
    <row r="346" spans="10:10">
      <c r="J346" s="2"/>
    </row>
    <row r="347" spans="10:10">
      <c r="J347" s="2"/>
    </row>
    <row r="348" spans="10:10">
      <c r="J348" s="2"/>
    </row>
    <row r="349" spans="10:10">
      <c r="J349" s="2"/>
    </row>
    <row r="350" spans="10:10">
      <c r="J350" s="2"/>
    </row>
    <row r="351" spans="10:10">
      <c r="J351" s="2"/>
    </row>
    <row r="352" spans="10:10">
      <c r="J352" s="2"/>
    </row>
    <row r="353" spans="10:10">
      <c r="J353" s="2"/>
    </row>
    <row r="354" spans="10:10">
      <c r="J354" s="2"/>
    </row>
    <row r="355" spans="10:10">
      <c r="J355" s="2"/>
    </row>
    <row r="356" spans="10:10">
      <c r="J356" s="2"/>
    </row>
    <row r="357" spans="10:10">
      <c r="J357" s="2"/>
    </row>
    <row r="358" spans="10:10">
      <c r="J358" s="2"/>
    </row>
    <row r="359" spans="10:10">
      <c r="J359" s="2"/>
    </row>
    <row r="360" spans="10:10">
      <c r="J360" s="2"/>
    </row>
    <row r="361" spans="10:10">
      <c r="J361" s="2"/>
    </row>
    <row r="362" spans="10:10">
      <c r="J362" s="2"/>
    </row>
    <row r="363" spans="10:10">
      <c r="J363" s="2"/>
    </row>
    <row r="364" spans="10:10">
      <c r="J364" s="2"/>
    </row>
    <row r="365" spans="10:10">
      <c r="J365" s="2"/>
    </row>
    <row r="366" spans="10:10">
      <c r="J366" s="2"/>
    </row>
    <row r="367" spans="10:10">
      <c r="J367" s="2"/>
    </row>
    <row r="368" spans="10:10">
      <c r="J368" s="2"/>
    </row>
    <row r="369" spans="10:10">
      <c r="J369" s="2"/>
    </row>
    <row r="370" spans="10:10">
      <c r="J370" s="2"/>
    </row>
    <row r="371" spans="10:10">
      <c r="J371" s="2"/>
    </row>
    <row r="372" spans="10:10">
      <c r="J372" s="2"/>
    </row>
    <row r="373" spans="10:10">
      <c r="J373" s="2"/>
    </row>
    <row r="374" spans="10:10">
      <c r="J374" s="2"/>
    </row>
    <row r="375" spans="10:10">
      <c r="J375" s="2"/>
    </row>
    <row r="376" spans="10:10">
      <c r="J376" s="2"/>
    </row>
    <row r="377" spans="10:10">
      <c r="J377" s="2"/>
    </row>
    <row r="378" spans="10:10">
      <c r="J378" s="2"/>
    </row>
    <row r="379" spans="10:10">
      <c r="J379" s="2"/>
    </row>
    <row r="380" spans="10:10">
      <c r="J380" s="2"/>
    </row>
    <row r="381" spans="10:10">
      <c r="J381" s="2"/>
    </row>
    <row r="382" spans="10:10">
      <c r="J382" s="2"/>
    </row>
    <row r="383" spans="10:10">
      <c r="J383" s="2"/>
    </row>
    <row r="384" spans="10:10">
      <c r="J384" s="2"/>
    </row>
    <row r="385" spans="10:10">
      <c r="J385" s="2"/>
    </row>
    <row r="386" spans="10:10">
      <c r="J386" s="2"/>
    </row>
    <row r="387" spans="10:10">
      <c r="J387" s="2"/>
    </row>
    <row r="388" spans="10:10">
      <c r="J388" s="2"/>
    </row>
    <row r="389" spans="10:10">
      <c r="J389" s="2"/>
    </row>
    <row r="390" spans="10:10">
      <c r="J390" s="2"/>
    </row>
    <row r="391" spans="10:10">
      <c r="J391" s="2"/>
    </row>
    <row r="392" spans="10:10">
      <c r="J392" s="2"/>
    </row>
    <row r="393" spans="10:10">
      <c r="J393" s="2"/>
    </row>
    <row r="394" spans="10:10">
      <c r="J394" s="2"/>
    </row>
    <row r="395" spans="10:10">
      <c r="J395" s="2"/>
    </row>
    <row r="396" spans="10:10">
      <c r="J396" s="2"/>
    </row>
    <row r="397" spans="10:10">
      <c r="J397" s="2"/>
    </row>
    <row r="398" spans="10:10">
      <c r="J398" s="2"/>
    </row>
    <row r="399" spans="10:10">
      <c r="J399" s="2"/>
    </row>
    <row r="400" spans="10:10">
      <c r="J400" s="2"/>
    </row>
    <row r="401" spans="10:10">
      <c r="J401" s="2"/>
    </row>
    <row r="402" spans="10:10">
      <c r="J402" s="2"/>
    </row>
    <row r="403" spans="10:10">
      <c r="J403" s="2"/>
    </row>
    <row r="404" spans="10:10">
      <c r="J404" s="2"/>
    </row>
    <row r="405" spans="10:10">
      <c r="J405" s="2"/>
    </row>
    <row r="406" spans="10:10">
      <c r="J406" s="2"/>
    </row>
    <row r="407" spans="10:10">
      <c r="J407" s="2"/>
    </row>
    <row r="408" spans="10:10">
      <c r="J408" s="2"/>
    </row>
    <row r="409" spans="10:10">
      <c r="J409" s="2"/>
    </row>
    <row r="410" spans="10:10">
      <c r="J410" s="2"/>
    </row>
    <row r="411" spans="10:10">
      <c r="J411" s="2"/>
    </row>
    <row r="412" spans="10:10">
      <c r="J412" s="2"/>
    </row>
    <row r="413" spans="10:10">
      <c r="J413" s="2"/>
    </row>
    <row r="414" spans="10:10">
      <c r="J414" s="2"/>
    </row>
    <row r="415" spans="10:10">
      <c r="J415" s="2"/>
    </row>
    <row r="416" spans="10:10">
      <c r="J416" s="2"/>
    </row>
    <row r="417" spans="10:10">
      <c r="J417" s="2"/>
    </row>
    <row r="418" spans="10:10">
      <c r="J418" s="2"/>
    </row>
    <row r="419" spans="10:10">
      <c r="J419" s="2"/>
    </row>
    <row r="420" spans="10:10">
      <c r="J420" s="2"/>
    </row>
    <row r="421" spans="10:10">
      <c r="J421" s="2"/>
    </row>
    <row r="422" spans="10:10">
      <c r="J422" s="2"/>
    </row>
    <row r="423" spans="10:10">
      <c r="J423" s="2"/>
    </row>
    <row r="424" spans="10:10">
      <c r="J424" s="2"/>
    </row>
    <row r="425" spans="10:10">
      <c r="J425" s="2"/>
    </row>
    <row r="426" spans="10:10">
      <c r="J426" s="2"/>
    </row>
    <row r="427" spans="10:10">
      <c r="J427" s="2"/>
    </row>
    <row r="428" spans="10:10">
      <c r="J428" s="2"/>
    </row>
    <row r="429" spans="10:10">
      <c r="J429" s="2"/>
    </row>
    <row r="430" spans="10:10">
      <c r="J430" s="2"/>
    </row>
    <row r="431" spans="10:10">
      <c r="J431" s="2"/>
    </row>
    <row r="432" spans="10:10">
      <c r="J432" s="2"/>
    </row>
    <row r="433" spans="10:10">
      <c r="J433" s="2"/>
    </row>
    <row r="434" spans="10:10">
      <c r="J434" s="2"/>
    </row>
    <row r="435" spans="10:10">
      <c r="J435" s="2"/>
    </row>
    <row r="436" spans="10:10">
      <c r="J436" s="2"/>
    </row>
    <row r="437" spans="10:10">
      <c r="J437" s="2"/>
    </row>
    <row r="438" spans="10:10">
      <c r="J438" s="2"/>
    </row>
    <row r="439" spans="10:10">
      <c r="J439" s="2"/>
    </row>
    <row r="440" spans="10:10">
      <c r="J440" s="2"/>
    </row>
    <row r="441" spans="10:10">
      <c r="J441" s="2"/>
    </row>
    <row r="442" spans="10:10">
      <c r="J442" s="2"/>
    </row>
    <row r="443" spans="10:10">
      <c r="J443" s="2"/>
    </row>
    <row r="444" spans="10:10">
      <c r="J444" s="2"/>
    </row>
    <row r="445" spans="10:10">
      <c r="J445" s="2"/>
    </row>
    <row r="446" spans="10:10">
      <c r="J446" s="2"/>
    </row>
    <row r="447" spans="10:10">
      <c r="J447" s="2"/>
    </row>
    <row r="448" spans="10:10">
      <c r="J448" s="2"/>
    </row>
    <row r="449" spans="10:10">
      <c r="J449" s="2"/>
    </row>
    <row r="450" spans="10:10">
      <c r="J450" s="2"/>
    </row>
    <row r="451" spans="10:10">
      <c r="J451" s="2"/>
    </row>
    <row r="452" spans="10:10">
      <c r="J452" s="2"/>
    </row>
    <row r="453" spans="10:10">
      <c r="J453" s="2"/>
    </row>
    <row r="454" spans="10:10">
      <c r="J454" s="2"/>
    </row>
    <row r="455" spans="10:10">
      <c r="J455" s="2"/>
    </row>
    <row r="456" spans="10:10">
      <c r="J456" s="2"/>
    </row>
    <row r="457" spans="10:10">
      <c r="J457" s="2"/>
    </row>
    <row r="458" spans="10:10">
      <c r="J458" s="2"/>
    </row>
    <row r="459" spans="10:10">
      <c r="J459" s="2"/>
    </row>
    <row r="460" spans="10:10">
      <c r="J460" s="2"/>
    </row>
    <row r="461" spans="10:10">
      <c r="J461" s="2"/>
    </row>
    <row r="462" spans="10:10">
      <c r="J462" s="2"/>
    </row>
    <row r="463" spans="10:10">
      <c r="J463" s="2"/>
    </row>
    <row r="464" spans="10:10">
      <c r="J464" s="2"/>
    </row>
    <row r="465" spans="10:10">
      <c r="J465" s="2"/>
    </row>
    <row r="466" spans="10:10">
      <c r="J466" s="2"/>
    </row>
    <row r="467" spans="10:10">
      <c r="J467" s="2"/>
    </row>
    <row r="468" spans="10:10">
      <c r="J468" s="2"/>
    </row>
    <row r="469" spans="10:10">
      <c r="J469" s="2"/>
    </row>
    <row r="470" spans="10:10">
      <c r="J470" s="2"/>
    </row>
    <row r="471" spans="10:10">
      <c r="J471" s="2"/>
    </row>
    <row r="472" spans="10:10">
      <c r="J472" s="2"/>
    </row>
    <row r="473" spans="10:10">
      <c r="J473" s="2"/>
    </row>
    <row r="474" spans="10:10">
      <c r="J474" s="2"/>
    </row>
    <row r="475" spans="10:10">
      <c r="J475" s="2"/>
    </row>
    <row r="476" spans="10:10">
      <c r="J476" s="2"/>
    </row>
    <row r="477" spans="10:10">
      <c r="J477" s="2"/>
    </row>
    <row r="478" spans="10:10">
      <c r="J478" s="2"/>
    </row>
    <row r="479" spans="10:10">
      <c r="J479" s="2"/>
    </row>
    <row r="480" spans="10:10">
      <c r="J480" s="2"/>
    </row>
    <row r="481" spans="10:10">
      <c r="J481" s="2"/>
    </row>
    <row r="482" spans="10:10">
      <c r="J482" s="2"/>
    </row>
    <row r="483" spans="10:10">
      <c r="J483" s="2"/>
    </row>
    <row r="484" spans="10:10">
      <c r="J484" s="2"/>
    </row>
    <row r="485" spans="10:10">
      <c r="J485" s="2"/>
    </row>
    <row r="486" spans="10:10">
      <c r="J486" s="2"/>
    </row>
    <row r="487" spans="10:10">
      <c r="J487" s="2"/>
    </row>
    <row r="488" spans="10:10">
      <c r="J488" s="2"/>
    </row>
    <row r="489" spans="10:10">
      <c r="J489" s="2"/>
    </row>
    <row r="490" spans="10:10">
      <c r="J490" s="2"/>
    </row>
    <row r="491" spans="10:10">
      <c r="J491" s="2"/>
    </row>
    <row r="492" spans="10:10">
      <c r="J492" s="2"/>
    </row>
    <row r="493" spans="10:10">
      <c r="J493" s="2"/>
    </row>
    <row r="494" spans="10:10">
      <c r="J494" s="2"/>
    </row>
    <row r="495" spans="10:10">
      <c r="J495" s="2"/>
    </row>
    <row r="496" spans="10:10">
      <c r="J496" s="2"/>
    </row>
    <row r="497" spans="10:10">
      <c r="J497" s="2"/>
    </row>
    <row r="498" spans="10:10">
      <c r="J498" s="2"/>
    </row>
    <row r="499" spans="10:10">
      <c r="J499" s="2"/>
    </row>
    <row r="500" spans="10:10">
      <c r="J500" s="2"/>
    </row>
    <row r="501" spans="10:10">
      <c r="J501" s="2"/>
    </row>
    <row r="502" spans="10:10">
      <c r="J502" s="2"/>
    </row>
    <row r="503" spans="10:10">
      <c r="J503" s="2"/>
    </row>
    <row r="504" spans="10:10">
      <c r="J504" s="2"/>
    </row>
    <row r="505" spans="10:10">
      <c r="J505" s="2"/>
    </row>
    <row r="506" spans="10:10">
      <c r="J506" s="2"/>
    </row>
    <row r="507" spans="10:10">
      <c r="J507" s="2"/>
    </row>
    <row r="508" spans="10:10">
      <c r="J508" s="2"/>
    </row>
    <row r="509" spans="10:10">
      <c r="J509" s="2"/>
    </row>
    <row r="510" spans="10:10">
      <c r="J510" s="2"/>
    </row>
    <row r="511" spans="10:10">
      <c r="J511" s="2"/>
    </row>
    <row r="512" spans="10:10">
      <c r="J512" s="2"/>
    </row>
    <row r="513" spans="10:10">
      <c r="J513" s="2"/>
    </row>
    <row r="514" spans="10:10">
      <c r="J514" s="2"/>
    </row>
    <row r="515" spans="10:10">
      <c r="J515" s="2"/>
    </row>
    <row r="516" spans="10:10">
      <c r="J516" s="2"/>
    </row>
    <row r="517" spans="10:10">
      <c r="J517" s="2"/>
    </row>
    <row r="518" spans="10:10">
      <c r="J518" s="2"/>
    </row>
    <row r="519" spans="10:10">
      <c r="J519" s="2"/>
    </row>
    <row r="520" spans="10:10">
      <c r="J520" s="2"/>
    </row>
    <row r="521" spans="10:10">
      <c r="J521" s="2"/>
    </row>
    <row r="522" spans="10:10">
      <c r="J522" s="2"/>
    </row>
    <row r="523" spans="10:10">
      <c r="J523" s="2"/>
    </row>
    <row r="524" spans="10:10">
      <c r="J524" s="2"/>
    </row>
    <row r="525" spans="10:10">
      <c r="J525" s="2"/>
    </row>
    <row r="526" spans="10:10">
      <c r="J526" s="2"/>
    </row>
    <row r="527" spans="10:10">
      <c r="J527" s="2"/>
    </row>
    <row r="528" spans="10:10">
      <c r="J528" s="2"/>
    </row>
    <row r="529" spans="10:10">
      <c r="J529" s="2"/>
    </row>
    <row r="530" spans="10:10">
      <c r="J530" s="2"/>
    </row>
    <row r="531" spans="10:10">
      <c r="J531" s="2"/>
    </row>
    <row r="532" spans="10:10">
      <c r="J532" s="2"/>
    </row>
    <row r="533" spans="10:10">
      <c r="J533" s="2"/>
    </row>
    <row r="534" spans="10:10">
      <c r="J534" s="2"/>
    </row>
    <row r="535" spans="10:10">
      <c r="J535" s="2"/>
    </row>
    <row r="536" spans="10:10">
      <c r="J536" s="2"/>
    </row>
    <row r="537" spans="10:10">
      <c r="J537" s="2"/>
    </row>
    <row r="538" spans="10:10">
      <c r="J538" s="2"/>
    </row>
    <row r="539" spans="10:10">
      <c r="J539" s="2"/>
    </row>
    <row r="540" spans="10:10">
      <c r="J540" s="2"/>
    </row>
    <row r="541" spans="10:10">
      <c r="J541" s="2"/>
    </row>
    <row r="542" spans="10:10">
      <c r="J542" s="2"/>
    </row>
    <row r="543" spans="10:10">
      <c r="J543" s="2"/>
    </row>
    <row r="544" spans="10:10">
      <c r="J544" s="2"/>
    </row>
    <row r="545" spans="10:10">
      <c r="J545" s="2"/>
    </row>
    <row r="546" spans="10:10">
      <c r="J546" s="2"/>
    </row>
    <row r="547" spans="10:10">
      <c r="J547" s="2"/>
    </row>
    <row r="548" spans="10:10">
      <c r="J548" s="2"/>
    </row>
    <row r="549" spans="10:10">
      <c r="J549" s="2"/>
    </row>
    <row r="550" spans="10:10">
      <c r="J550" s="2"/>
    </row>
    <row r="551" spans="10:10">
      <c r="J551" s="2"/>
    </row>
    <row r="552" spans="10:10">
      <c r="J552" s="2"/>
    </row>
    <row r="553" spans="10:10">
      <c r="J553" s="2"/>
    </row>
    <row r="554" spans="10:10">
      <c r="J554" s="2"/>
    </row>
    <row r="555" spans="10:10">
      <c r="J555" s="2"/>
    </row>
    <row r="556" spans="10:10">
      <c r="J556" s="2"/>
    </row>
    <row r="557" spans="10:10">
      <c r="J557" s="2"/>
    </row>
    <row r="558" spans="10:10">
      <c r="J558" s="2"/>
    </row>
    <row r="559" spans="10:10">
      <c r="J559" s="2"/>
    </row>
    <row r="560" spans="10:10">
      <c r="J560" s="2"/>
    </row>
    <row r="561" spans="10:10">
      <c r="J561" s="2"/>
    </row>
    <row r="562" spans="10:10">
      <c r="J562" s="2"/>
    </row>
    <row r="563" spans="10:10">
      <c r="J563" s="2"/>
    </row>
    <row r="564" spans="10:10">
      <c r="J564" s="2"/>
    </row>
    <row r="565" spans="10:10">
      <c r="J565" s="2"/>
    </row>
    <row r="566" spans="10:10">
      <c r="J566" s="2"/>
    </row>
    <row r="567" spans="10:10">
      <c r="J567" s="2"/>
    </row>
    <row r="568" spans="10:10">
      <c r="J568" s="2"/>
    </row>
    <row r="569" spans="10:10">
      <c r="J569" s="2"/>
    </row>
    <row r="570" spans="10:10">
      <c r="J570" s="2"/>
    </row>
    <row r="571" spans="10:10">
      <c r="J571" s="2"/>
    </row>
    <row r="572" spans="10:10">
      <c r="J572" s="2"/>
    </row>
    <row r="573" spans="10:10">
      <c r="J573" s="2"/>
    </row>
    <row r="574" spans="10:10">
      <c r="J574" s="2"/>
    </row>
    <row r="575" spans="10:10">
      <c r="J575" s="2"/>
    </row>
    <row r="576" spans="10:10">
      <c r="J576" s="2"/>
    </row>
    <row r="577" spans="10:10">
      <c r="J577" s="2"/>
    </row>
    <row r="578" spans="10:10">
      <c r="J578" s="2"/>
    </row>
    <row r="579" spans="10:10">
      <c r="J579" s="2"/>
    </row>
    <row r="580" spans="10:10">
      <c r="J580" s="2"/>
    </row>
    <row r="581" spans="10:10">
      <c r="J581" s="2"/>
    </row>
    <row r="582" spans="10:10">
      <c r="J582" s="2"/>
    </row>
    <row r="583" spans="10:10">
      <c r="J583" s="2"/>
    </row>
    <row r="584" spans="10:10">
      <c r="J584" s="2"/>
    </row>
    <row r="585" spans="10:10">
      <c r="J585" s="2"/>
    </row>
    <row r="586" spans="10:10">
      <c r="J586" s="2"/>
    </row>
    <row r="587" spans="10:10">
      <c r="J587" s="2"/>
    </row>
    <row r="588" spans="10:10">
      <c r="J588" s="2"/>
    </row>
    <row r="589" spans="10:10">
      <c r="J589" s="2"/>
    </row>
    <row r="590" spans="10:10">
      <c r="J590" s="2"/>
    </row>
    <row r="591" spans="10:10">
      <c r="J591" s="2"/>
    </row>
    <row r="592" spans="10:10">
      <c r="J592" s="2"/>
    </row>
    <row r="593" spans="10:10">
      <c r="J593" s="2"/>
    </row>
    <row r="594" spans="10:10">
      <c r="J594" s="2"/>
    </row>
    <row r="595" spans="10:10">
      <c r="J595" s="2"/>
    </row>
    <row r="596" spans="10:10">
      <c r="J596" s="2"/>
    </row>
    <row r="597" spans="10:10">
      <c r="J597" s="2"/>
    </row>
    <row r="598" spans="10:10">
      <c r="J598" s="2"/>
    </row>
    <row r="599" spans="10:10">
      <c r="J599" s="2"/>
    </row>
    <row r="600" spans="10:10">
      <c r="J600" s="2"/>
    </row>
    <row r="601" spans="10:10">
      <c r="J601" s="2"/>
    </row>
    <row r="602" spans="10:10">
      <c r="J602" s="2"/>
    </row>
    <row r="603" spans="10:10">
      <c r="J603" s="2"/>
    </row>
    <row r="604" spans="10:10">
      <c r="J604" s="2"/>
    </row>
    <row r="605" spans="10:10">
      <c r="J605" s="2"/>
    </row>
    <row r="606" spans="10:10">
      <c r="J606" s="2"/>
    </row>
    <row r="607" spans="10:10">
      <c r="J607" s="2"/>
    </row>
    <row r="608" spans="10:10">
      <c r="J608" s="2"/>
    </row>
    <row r="609" spans="10:10">
      <c r="J609" s="2"/>
    </row>
    <row r="610" spans="10:10">
      <c r="J610" s="2"/>
    </row>
    <row r="611" spans="10:10">
      <c r="J611" s="2"/>
    </row>
    <row r="612" spans="10:10">
      <c r="J612" s="2"/>
    </row>
    <row r="613" spans="10:10">
      <c r="J613" s="2"/>
    </row>
    <row r="614" spans="10:10">
      <c r="J614" s="2"/>
    </row>
    <row r="615" spans="10:10">
      <c r="J615" s="2"/>
    </row>
    <row r="616" spans="10:10">
      <c r="J616" s="2"/>
    </row>
    <row r="617" spans="10:10">
      <c r="J617" s="2"/>
    </row>
    <row r="618" spans="10:10">
      <c r="J618" s="2"/>
    </row>
    <row r="619" spans="10:10">
      <c r="J619" s="2"/>
    </row>
    <row r="620" spans="10:10">
      <c r="J620" s="2"/>
    </row>
    <row r="621" spans="10:10">
      <c r="J621" s="2"/>
    </row>
    <row r="622" spans="10:10">
      <c r="J622" s="2"/>
    </row>
    <row r="623" spans="10:10">
      <c r="J623" s="2"/>
    </row>
    <row r="624" spans="10:10">
      <c r="J624" s="2"/>
    </row>
    <row r="625" spans="10:10">
      <c r="J625" s="2"/>
    </row>
    <row r="626" spans="10:10">
      <c r="J626" s="2"/>
    </row>
    <row r="627" spans="10:10">
      <c r="J627" s="2"/>
    </row>
    <row r="628" spans="10:10">
      <c r="J628" s="2"/>
    </row>
    <row r="629" spans="10:10">
      <c r="J629" s="2"/>
    </row>
    <row r="630" spans="10:10">
      <c r="J630" s="2"/>
    </row>
    <row r="631" spans="10:10">
      <c r="J631" s="2"/>
    </row>
    <row r="632" spans="10:10">
      <c r="J632" s="2"/>
    </row>
    <row r="633" spans="10:10">
      <c r="J633" s="2"/>
    </row>
    <row r="634" spans="10:10">
      <c r="J634" s="2"/>
    </row>
    <row r="635" spans="10:10">
      <c r="J635" s="2"/>
    </row>
    <row r="636" spans="10:10">
      <c r="J636" s="2"/>
    </row>
    <row r="637" spans="10:10">
      <c r="J637" s="2"/>
    </row>
    <row r="638" spans="10:10">
      <c r="J638" s="2"/>
    </row>
    <row r="639" spans="10:10">
      <c r="J639" s="2"/>
    </row>
    <row r="640" spans="10:10">
      <c r="J640" s="2"/>
    </row>
    <row r="641" spans="10:10">
      <c r="J641" s="2"/>
    </row>
    <row r="642" spans="10:10">
      <c r="J642" s="2"/>
    </row>
    <row r="643" spans="10:10">
      <c r="J643" s="2"/>
    </row>
    <row r="644" spans="10:10">
      <c r="J644" s="2"/>
    </row>
    <row r="645" spans="10:10">
      <c r="J645" s="2"/>
    </row>
    <row r="646" spans="10:10">
      <c r="J646" s="2"/>
    </row>
    <row r="647" spans="10:10">
      <c r="J647" s="2"/>
    </row>
    <row r="648" spans="10:10">
      <c r="J648" s="2"/>
    </row>
    <row r="649" spans="10:10">
      <c r="J649" s="2"/>
    </row>
    <row r="650" spans="10:10">
      <c r="J650" s="2"/>
    </row>
    <row r="651" spans="10:10">
      <c r="J651" s="2"/>
    </row>
  </sheetData>
  <sortState xmlns:xlrd2="http://schemas.microsoft.com/office/spreadsheetml/2017/richdata2" ref="B2:B651">
    <sortCondition ref="B2"/>
  </sortState>
  <pageMargins left="0.75" right="0.75" top="1" bottom="1" header="0.5" footer="0.5"/>
  <ignoredErrors>
    <ignoredError sqref="P2:P5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Ride Sharing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ZAHRAA</dc:creator>
  <cp:lastModifiedBy>Umair421680@outlook.com</cp:lastModifiedBy>
  <dcterms:created xsi:type="dcterms:W3CDTF">2024-10-31T11:54:05Z</dcterms:created>
  <dcterms:modified xsi:type="dcterms:W3CDTF">2026-09-09T17:36:56Z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F9D6653A558849738BF7948F79943152_11</vt:lpwstr>
  </property>
  <property fmtid="{D5CDD505-2E9C-101B-9397-08002B2CF9AE}" pid="3" name="KSOProductBuildVer">
    <vt:lpwstr>1033-12.2.0.18607</vt:lpwstr>
  </property>
</Properties>
</file>